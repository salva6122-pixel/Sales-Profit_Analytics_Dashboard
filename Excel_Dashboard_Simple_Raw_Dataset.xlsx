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99ec3a2fee2264ba/Desktop/selva/"/>
    </mc:Choice>
  </mc:AlternateContent>
  <xr:revisionPtr revIDLastSave="31" documentId="8_{4263839A-4026-45A4-9A37-A687AD98EE5C}" xr6:coauthVersionLast="47" xr6:coauthVersionMax="47" xr10:uidLastSave="{48F64A4C-80DD-4566-ABA9-2DD33BC58988}"/>
  <bookViews>
    <workbookView xWindow="-108" yWindow="-108" windowWidth="23256" windowHeight="12456" activeTab="1" xr2:uid="{00000000-000D-0000-FFFF-FFFF00000000}"/>
  </bookViews>
  <sheets>
    <sheet name="Pivot" sheetId="2" r:id="rId1"/>
    <sheet name="DASHBOARD" sheetId="4" r:id="rId2"/>
    <sheet name="DATA " sheetId="1" r:id="rId3"/>
  </sheets>
  <definedNames>
    <definedName name="Slicer_Month">#N/A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2" i="1"/>
  <c r="I27" i="2"/>
  <c r="I21" i="2"/>
  <c r="I24" i="2"/>
  <c r="I18" i="2"/>
  <c r="I15" i="2"/>
  <c r="I12" i="2"/>
</calcChain>
</file>

<file path=xl/sharedStrings.xml><?xml version="1.0" encoding="utf-8"?>
<sst xmlns="http://schemas.openxmlformats.org/spreadsheetml/2006/main" count="567" uniqueCount="208">
  <si>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</si>
  <si>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</si>
  <si>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</si>
  <si>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</si>
  <si>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</si>
  <si>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</si>
  <si>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</si>
  <si>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</si>
  <si>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</si>
  <si>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</si>
  <si>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</si>
  <si>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</si>
  <si>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</si>
  <si>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</si>
  <si>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</si>
  <si>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</si>
  <si>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</si>
  <si>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</si>
  <si>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</si>
  <si>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</si>
  <si>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</si>
  <si>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</si>
  <si>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</si>
  <si>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</si>
  <si>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</si>
  <si>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</si>
  <si>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</si>
  <si>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</si>
  <si>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</si>
  <si>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</si>
  <si>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</si>
  <si>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</si>
  <si>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</si>
  <si>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</si>
  <si>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</si>
  <si>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</si>
  <si>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</si>
  <si>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</si>
  <si>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</si>
  <si>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</si>
  <si>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</si>
  <si>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</si>
  <si>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</si>
  <si>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</si>
  <si>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</si>
  <si>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</si>
  <si>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</si>
  <si>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</si>
  <si>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</si>
  <si>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</si>
  <si>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</si>
  <si>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</si>
  <si>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</si>
  <si>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</si>
  <si>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</si>
  <si>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</si>
  <si>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</si>
  <si>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</si>
  <si>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</si>
  <si>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</si>
  <si>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</si>
  <si>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</si>
  <si>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</si>
  <si>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</si>
  <si>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</si>
  <si>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</si>
  <si>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</si>
  <si>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</si>
  <si>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</si>
  <si>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</si>
  <si>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</si>
  <si>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</si>
  <si>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</si>
  <si>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</si>
  <si>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</si>
  <si>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</si>
  <si>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</si>
  <si>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</si>
  <si>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</si>
  <si>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</si>
  <si>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</si>
  <si>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</si>
  <si>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</si>
  <si>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</si>
  <si>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</si>
  <si>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</si>
  <si>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</si>
  <si>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</si>
  <si>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</si>
  <si>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</si>
  <si>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</si>
  <si>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</si>
  <si>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</si>
  <si>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</si>
  <si>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</si>
  <si>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</si>
  <si>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</si>
  <si>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</si>
  <si>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</si>
  <si>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</si>
  <si>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</si>
  <si>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</si>
  <si>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</si>
  <si>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</si>
  <si>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</si>
  <si>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</si>
  <si>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</si>
  <si>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</si>
  <si>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</si>
  <si>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</si>
  <si>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</si>
  <si>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</si>
  <si>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</si>
  <si>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</si>
  <si>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</si>
  <si>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</si>
  <si>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</si>
  <si>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</si>
  <si>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</si>
  <si>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</si>
  <si>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</si>
  <si>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</si>
  <si>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</si>
  <si>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</si>
  <si>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</si>
  <si>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</si>
  <si>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</si>
  <si>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</si>
  <si>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</si>
  <si>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</si>
  <si>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</si>
  <si>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</si>
  <si>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</si>
  <si>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</si>
  <si>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</si>
  <si>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</si>
  <si>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</si>
  <si>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</si>
  <si>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</si>
  <si>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</si>
  <si>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</si>
  <si>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</si>
  <si>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</si>
  <si>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</si>
  <si>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</si>
  <si>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</si>
  <si>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</si>
  <si>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</si>
  <si>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</si>
  <si>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</si>
  <si>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</si>
  <si>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</si>
  <si>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</si>
  <si>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</si>
  <si>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</si>
  <si>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</si>
  <si>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</si>
  <si>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</si>
  <si>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</si>
  <si>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</si>
  <si>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</si>
  <si>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</si>
  <si>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</si>
  <si>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</si>
  <si>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</si>
  <si>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</si>
  <si>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</si>
  <si>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</si>
  <si>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</si>
  <si>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</si>
  <si>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</si>
  <si>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</si>
  <si>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</si>
  <si>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</si>
  <si>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</si>
  <si>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</si>
  <si>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</si>
  <si>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</si>
  <si>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</si>
  <si>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</si>
  <si>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</si>
  <si>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</si>
  <si>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</si>
  <si>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</si>
  <si>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</si>
  <si>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</si>
  <si>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</si>
  <si>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upi</t>
  </si>
  <si>
    <t>Card</t>
  </si>
  <si>
    <t xml:space="preserve">Card </t>
  </si>
  <si>
    <t>Unknown</t>
  </si>
  <si>
    <t>Month</t>
  </si>
  <si>
    <t>Months_N0</t>
  </si>
  <si>
    <t>Profit_Margin_%</t>
  </si>
  <si>
    <t>Row Labels</t>
  </si>
  <si>
    <t>Jan</t>
  </si>
  <si>
    <t>Feb</t>
  </si>
  <si>
    <t>Mar</t>
  </si>
  <si>
    <t>Apr</t>
  </si>
  <si>
    <t>May</t>
  </si>
  <si>
    <t>Jun</t>
  </si>
  <si>
    <t>Grand Total</t>
  </si>
  <si>
    <t>Sum of Profit</t>
  </si>
  <si>
    <t>Sum of Sales</t>
  </si>
  <si>
    <t>Sum of Profit_Margin_%</t>
  </si>
  <si>
    <t>Sum of Quantity</t>
  </si>
  <si>
    <t>Count of Order_ID</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</si>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</sst>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9" fontId="0" fillId="0" borderId="0" xfId="0" applyNumberFormat="1"/>
    <xf numFmtId="3" fontId="0" fillId="0" borderId="0" xfId="0" applyNumberFormat="1"/>
  </cellXfs>
  <cellStyles count="2">
    <cellStyle name="Normal" xfId="0" builtinId="0"/>
    <cellStyle name="Percent" xfId="1" builtinId="5"/>
  </cellStyles>
  <dxfs count="20">
    <dxf>
      <font>
        <b val="0"/>
        <i val="0"/>
        <strike val="0"/>
        <condense val="0"/>
        <extend val="0"/>
        <outline val="0"/>
        <shadow val="0"/>
        <u val="none"/>
        <vertAlign val="baseline"/>
        <sz val="11"/>
        <color theme="1"/>
        <name val="Calibri"/>
        <family val="2"/>
        <scheme val="minor"/>
      </font>
    </dxf>
    <dxf>
      <numFmt numFmtId="164" formatCode="yyyy\-mm\-dd\ hh:mm:ss"/>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s>
  <tableStyles count="0" defaultTableStyle="TableStyleMedium9" defaultPivotStyle="PivotStyleLight16"/>
  <colors>
    <mruColors>
      <color rgb="FF004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[Excel_Dashboard_Simple_Raw_Dataset.xlsx]Pivot!PivotTable4</c:name>
    <c:fmtId val="31"/>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PERFOMANCE &amp; PROFITABILITY</a:t>
            </a:r>
          </a:p>
        </c:rich>
      </c:tx>
      <c:layout>
        <c:manualLayout>
          <c:xMode val="edge"/>
          <c:yMode val="edge"/>
          <c:x val="2.486974284464441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Pivot!$K$4:$K$9</c:f>
              <c:strCache>
                <c:ptCount val="5"/>
                <c:pt idx="0">
                  <c:v>West</c:v>
                </c:pt>
                <c:pt idx="1">
                  <c:v>East</c:v>
                </c:pt>
                <c:pt idx="2">
                  <c:v>South</c:v>
                </c:pt>
                <c:pt idx="3">
                  <c:v>North</c:v>
                </c:pt>
                <c:pt idx="4">
                  <c:v>Unknown</c:v>
                </c:pt>
              </c:strCache>
            </c:strRef>
          </c:cat>
          <c:val>
            <c:numRef>
              <c:f>Pivot!$L$4:$L$9</c:f>
              <c:numCache>
                <c:formatCode>#,##0</c:formatCode>
                <c:ptCount val="5"/>
                <c:pt idx="0">
                  <c:v>858555.1</c:v>
                </c:pt>
                <c:pt idx="1">
                  <c:v>650732.74999999977</c:v>
                </c:pt>
                <c:pt idx="2">
                  <c:v>622693.85</c:v>
                </c:pt>
                <c:pt idx="3">
                  <c:v>496216.65</c:v>
                </c:pt>
                <c:pt idx="4">
                  <c:v>1166.2</c:v>
                </c:pt>
              </c:numCache>
            </c:numRef>
          </c:val>
          <c:extLst>
            <c:ext xmlns:c16="http://schemas.microsoft.com/office/drawing/2014/chart" uri="{C3380CC4-5D6E-409C-BE32-E72D297353CC}">
              <c16:uniqueId val="{00000000-B5A0-4355-95B8-88F772DCC6D6}"/>
            </c:ext>
          </c:extLst>
        </c:ser>
        <c:dLbls>
          <c:dLblPos val="outEnd"/>
          <c:showLegendKey val="0"/>
          <c:showVal val="1"/>
          <c:showCatName val="0"/>
          <c:showSerName val="0"/>
          <c:showPercent val="0"/>
          <c:showBubbleSize val="0"/>
        </c:dLbls>
        <c:gapWidth val="115"/>
        <c:overlap val="-20"/>
        <c:axId val="1167746592"/>
        <c:axId val="588502224"/>
      </c:barChart>
      <c:catAx>
        <c:axId val="1167746592"/>
        <c:scaling>
          <c:orientation val="minMax"/>
        </c:scaling>
        <c:delete val="0"/>
        <c:axPos val="l"/>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588502224"/>
        <c:crosses val="autoZero"/>
        <c:auto val="1"/>
        <c:lblAlgn val="ctr"/>
        <c:lblOffset val="100"/>
        <c:noMultiLvlLbl val="0"/>
      </c:catAx>
      <c:valAx>
        <c:axId val="588502224"/>
        <c:scaling>
          <c:orientation val="minMax"/>
        </c:scaling>
        <c:delete val="1"/>
        <c:axPos val="b"/>
        <c:numFmt formatCode="#,##0" sourceLinked="1"/>
        <c:majorTickMark val="none"/>
        <c:minorTickMark val="none"/>
        <c:tickLblPos val="nextTo"/>
        <c:crossAx val="1167746592"/>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[Excel_Dashboard_Simple_Raw_Dataset.xlsx]Pivot!PivotTable8</c:name>
    <c:fmtId val="6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rPr>
              <a:t>TOP 5 CUSTOMERS BY SALES</a:t>
            </a:r>
          </a:p>
        </c:rich>
      </c:tx>
      <c:layout>
        <c:manualLayout>
          <c:xMode val="edge"/>
          <c:yMode val="edge"/>
          <c:x val="7.8880900756970584E-3"/>
          <c:y val="3.70368779659548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76722392899361E-2"/>
          <c:y val="0.18926046480101852"/>
          <c:w val="0.91583674589695896"/>
          <c:h val="0.75474518810148727"/>
        </c:manualLayout>
      </c:layout>
      <c:barChart>
        <c:barDir val="bar"/>
        <c:grouping val="clustered"/>
        <c:varyColors val="0"/>
        <c:ser>
          <c:idx val="0"/>
          <c:order val="0"/>
          <c:tx>
            <c:strRef>
              <c:f>Pivot!$F$12</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Pivot!$E$13:$E$18</c:f>
              <c:strCache>
                <c:ptCount val="5"/>
                <c:pt idx="0">
                  <c:v>C1077</c:v>
                </c:pt>
                <c:pt idx="1">
                  <c:v>C1011</c:v>
                </c:pt>
                <c:pt idx="2">
                  <c:v>C1024</c:v>
                </c:pt>
                <c:pt idx="3">
                  <c:v>C1019</c:v>
                </c:pt>
                <c:pt idx="4">
                  <c:v>C1042</c:v>
                </c:pt>
              </c:strCache>
            </c:strRef>
          </c:cat>
          <c:val>
            <c:numRef>
              <c:f>Pivot!$F$13:$F$18</c:f>
              <c:numCache>
                <c:formatCode>#,##0</c:formatCode>
                <c:ptCount val="5"/>
                <c:pt idx="0">
                  <c:v>262162</c:v>
                </c:pt>
                <c:pt idx="1">
                  <c:v>256020.8</c:v>
                </c:pt>
                <c:pt idx="2">
                  <c:v>198853.2</c:v>
                </c:pt>
                <c:pt idx="3">
                  <c:v>188594.6</c:v>
                </c:pt>
                <c:pt idx="4">
                  <c:v>156627.45000000001</c:v>
                </c:pt>
              </c:numCache>
            </c:numRef>
          </c:val>
          <c:extLst>
            <c:ext xmlns:c16="http://schemas.microsoft.com/office/drawing/2014/chart" uri="{C3380CC4-5D6E-409C-BE32-E72D297353CC}">
              <c16:uniqueId val="{00000000-5A0F-4C18-BAC9-AFB4729432B6}"/>
            </c:ext>
          </c:extLst>
        </c:ser>
        <c:dLbls>
          <c:dLblPos val="outEnd"/>
          <c:showLegendKey val="0"/>
          <c:showVal val="1"/>
          <c:showCatName val="0"/>
          <c:showSerName val="0"/>
          <c:showPercent val="0"/>
          <c:showBubbleSize val="0"/>
        </c:dLbls>
        <c:gapWidth val="115"/>
        <c:overlap val="-20"/>
        <c:axId val="2020385168"/>
        <c:axId val="1631883376"/>
      </c:barChart>
      <c:catAx>
        <c:axId val="2020385168"/>
        <c:scaling>
          <c:orientation val="minMax"/>
        </c:scaling>
        <c:delete val="0"/>
        <c:axPos val="l"/>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31883376"/>
        <c:crosses val="autoZero"/>
        <c:auto val="1"/>
        <c:lblAlgn val="ctr"/>
        <c:lblOffset val="100"/>
        <c:noMultiLvlLbl val="0"/>
      </c:catAx>
      <c:valAx>
        <c:axId val="1631883376"/>
        <c:scaling>
          <c:orientation val="minMax"/>
        </c:scaling>
        <c:delete val="1"/>
        <c:axPos val="b"/>
        <c:numFmt formatCode="#,##0" sourceLinked="1"/>
        <c:majorTickMark val="none"/>
        <c:minorTickMark val="none"/>
        <c:tickLblPos val="nextTo"/>
        <c:crossAx val="2020385168"/>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[Excel_Dashboard_Simple_Raw_Dataset.xlsx]Pivot!PivotTable6</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rPr>
              <a:t>SALES INTELIGENCE DASHBOARD</a:t>
            </a:r>
          </a:p>
        </c:rich>
      </c:tx>
      <c:layout>
        <c:manualLayout>
          <c:xMode val="edge"/>
          <c:yMode val="edge"/>
          <c:x val="3.4094247393387754E-2"/>
          <c:y val="5.52831071629410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Pivot!$R$2</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Pivot!$Q$3:$Q$9</c:f>
              <c:strCache>
                <c:ptCount val="6"/>
                <c:pt idx="0">
                  <c:v>Monitor</c:v>
                </c:pt>
                <c:pt idx="1">
                  <c:v>Mouse</c:v>
                </c:pt>
                <c:pt idx="2">
                  <c:v>Headset</c:v>
                </c:pt>
                <c:pt idx="3">
                  <c:v>Keyboard</c:v>
                </c:pt>
                <c:pt idx="4">
                  <c:v>Laptop</c:v>
                </c:pt>
                <c:pt idx="5">
                  <c:v>Mouse </c:v>
                </c:pt>
              </c:strCache>
            </c:strRef>
          </c:cat>
          <c:val>
            <c:numRef>
              <c:f>Pivot!$R$3:$R$9</c:f>
              <c:numCache>
                <c:formatCode>General</c:formatCode>
                <c:ptCount val="6"/>
                <c:pt idx="0">
                  <c:v>66</c:v>
                </c:pt>
                <c:pt idx="1">
                  <c:v>51</c:v>
                </c:pt>
                <c:pt idx="2">
                  <c:v>39</c:v>
                </c:pt>
                <c:pt idx="3">
                  <c:v>32</c:v>
                </c:pt>
                <c:pt idx="4">
                  <c:v>30</c:v>
                </c:pt>
                <c:pt idx="5">
                  <c:v>1</c:v>
                </c:pt>
              </c:numCache>
            </c:numRef>
          </c:val>
          <c:extLst>
            <c:ext xmlns:c16="http://schemas.microsoft.com/office/drawing/2014/chart" uri="{C3380CC4-5D6E-409C-BE32-E72D297353CC}">
              <c16:uniqueId val="{00000000-8F0B-45EC-859B-31A243642FB3}"/>
            </c:ext>
          </c:extLst>
        </c:ser>
        <c:dLbls>
          <c:dLblPos val="outEnd"/>
          <c:showLegendKey val="0"/>
          <c:showVal val="1"/>
          <c:showCatName val="0"/>
          <c:showSerName val="0"/>
          <c:showPercent val="0"/>
          <c:showBubbleSize val="0"/>
        </c:dLbls>
        <c:gapWidth val="115"/>
        <c:overlap val="-20"/>
        <c:axId val="1290131456"/>
        <c:axId val="1129333392"/>
      </c:barChart>
      <c:catAx>
        <c:axId val="1290131456"/>
        <c:scaling>
          <c:orientation val="minMax"/>
        </c:scaling>
        <c:delete val="0"/>
        <c:axPos val="l"/>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9333392"/>
        <c:crosses val="autoZero"/>
        <c:auto val="1"/>
        <c:lblAlgn val="ctr"/>
        <c:lblOffset val="100"/>
        <c:noMultiLvlLbl val="0"/>
      </c:catAx>
      <c:valAx>
        <c:axId val="1129333392"/>
        <c:scaling>
          <c:orientation val="minMax"/>
        </c:scaling>
        <c:delete val="1"/>
        <c:axPos val="b"/>
        <c:numFmt formatCode="General" sourceLinked="1"/>
        <c:majorTickMark val="none"/>
        <c:minorTickMark val="none"/>
        <c:tickLblPos val="nextTo"/>
        <c:crossAx val="1290131456"/>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[Excel_Dashboard_Simple_Raw_Dataset.xlsx]Pivot!PivotTable7</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rPr>
              <a:t>BUSINESS PERFORMANCE DASHBOARD</a:t>
            </a:r>
          </a:p>
        </c:rich>
      </c:tx>
      <c:layout>
        <c:manualLayout>
          <c:xMode val="edge"/>
          <c:yMode val="edge"/>
          <c:x val="2.06511175898931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343939150463335"/>
          <c:y val="0.2617548848060659"/>
          <c:w val="0.33988563929508814"/>
          <c:h val="0.64767096821230674"/>
        </c:manualLayout>
      </c:layout>
      <c:doughnutChart>
        <c:varyColors val="1"/>
        <c:ser>
          <c:idx val="0"/>
          <c:order val="0"/>
          <c:tx>
            <c:strRef>
              <c:f>Pivot!$C$12</c:f>
              <c:strCache>
                <c:ptCount val="1"/>
                <c:pt idx="0">
                  <c:v>Total</c:v>
                </c:pt>
              </c:strCache>
            </c:strRef>
          </c:tx>
          <c:spPr>
            <a:ln>
              <a:solidFill>
                <a:schemeClr val="tx2">
                  <a:lumMod val="50000"/>
                </a:schemeClr>
              </a:solid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2BF-4E24-867F-93D755EC5A2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2BF-4E24-867F-93D755EC5A2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2BF-4E24-867F-93D755EC5A2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2BF-4E24-867F-93D755EC5A2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2BF-4E24-867F-93D755EC5A2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Pivot!$B$13:$B$18</c:f>
              <c:strCache>
                <c:ptCount val="5"/>
                <c:pt idx="0">
                  <c:v>UPI</c:v>
                </c:pt>
                <c:pt idx="1">
                  <c:v>Net Banking</c:v>
                </c:pt>
                <c:pt idx="2">
                  <c:v>Card</c:v>
                </c:pt>
                <c:pt idx="3">
                  <c:v>Cash</c:v>
                </c:pt>
                <c:pt idx="4">
                  <c:v>Card </c:v>
                </c:pt>
              </c:strCache>
            </c:strRef>
          </c:cat>
          <c:val>
            <c:numRef>
              <c:f>Pivot!$C$13:$C$18</c:f>
              <c:numCache>
                <c:formatCode>#,##0</c:formatCode>
                <c:ptCount val="5"/>
                <c:pt idx="0">
                  <c:v>24</c:v>
                </c:pt>
                <c:pt idx="1">
                  <c:v>20</c:v>
                </c:pt>
                <c:pt idx="2">
                  <c:v>18</c:v>
                </c:pt>
                <c:pt idx="3">
                  <c:v>17</c:v>
                </c:pt>
                <c:pt idx="4">
                  <c:v>1</c:v>
                </c:pt>
              </c:numCache>
            </c:numRef>
          </c:val>
          <c:extLst>
            <c:ext xmlns:c16="http://schemas.microsoft.com/office/drawing/2014/chart" uri="{C3380CC4-5D6E-409C-BE32-E72D297353CC}">
              <c16:uniqueId val="{0000000A-72BF-4E24-867F-93D755EC5A20}"/>
            </c:ext>
          </c:extLst>
        </c:ser>
        <c:dLbls>
          <c:showLegendKey val="0"/>
          <c:showVal val="1"/>
          <c:showCatName val="0"/>
          <c:showSerName val="0"/>
          <c:showPercent val="0"/>
          <c:showBubbleSize val="0"/>
          <c:showLeaderLines val="1"/>
        </c:dLbls>
        <c:firstSliceAng val="0"/>
        <c:holeSize val="75"/>
      </c:doughnutChart>
      <c:spPr>
        <a:noFill/>
        <a:ln>
          <a:solidFill>
            <a:schemeClr val="tx2">
              <a:lumMod val="50000"/>
            </a:schemeClr>
          </a:solidFill>
        </a:ln>
        <a:effectLst/>
      </c:spPr>
    </c:plotArea>
    <c:legend>
      <c:legendPos val="r"/>
      <c:overlay val="0"/>
      <c:spPr>
        <a:noFill/>
        <a:ln>
          <a:solidFill>
            <a:schemeClr val="tx2">
              <a:lumMod val="50000"/>
            </a:schemeClr>
          </a:solid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[Excel_Dashboard_Simple_Raw_Dataset.xlsx]Pivot!PivotTable5</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rPr>
              <a:t>SALES &amp; BUSINESS ANALYSTICS</a:t>
            </a:r>
          </a:p>
        </c:rich>
      </c:tx>
      <c:layout>
        <c:manualLayout>
          <c:xMode val="edge"/>
          <c:yMode val="edge"/>
          <c:x val="2.3187445319335077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Pivot!$O$2</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Pivot!$N$3:$N$8</c:f>
              <c:strCache>
                <c:ptCount val="5"/>
                <c:pt idx="0">
                  <c:v>East</c:v>
                </c:pt>
                <c:pt idx="1">
                  <c:v>North</c:v>
                </c:pt>
                <c:pt idx="2">
                  <c:v>West</c:v>
                </c:pt>
                <c:pt idx="3">
                  <c:v>South</c:v>
                </c:pt>
                <c:pt idx="4">
                  <c:v>Unknown</c:v>
                </c:pt>
              </c:strCache>
            </c:strRef>
          </c:cat>
          <c:val>
            <c:numRef>
              <c:f>Pivot!$O$3:$O$8</c:f>
              <c:numCache>
                <c:formatCode>0%</c:formatCode>
                <c:ptCount val="5"/>
                <c:pt idx="0">
                  <c:v>96.85686376911822</c:v>
                </c:pt>
                <c:pt idx="1">
                  <c:v>88.35387707484179</c:v>
                </c:pt>
                <c:pt idx="2">
                  <c:v>64.40162025524296</c:v>
                </c:pt>
                <c:pt idx="3">
                  <c:v>37.233838629072537</c:v>
                </c:pt>
                <c:pt idx="4">
                  <c:v>2.8784400839195361</c:v>
                </c:pt>
              </c:numCache>
            </c:numRef>
          </c:val>
          <c:extLst>
            <c:ext xmlns:c16="http://schemas.microsoft.com/office/drawing/2014/chart" uri="{C3380CC4-5D6E-409C-BE32-E72D297353CC}">
              <c16:uniqueId val="{00000000-863F-4FCE-BAD6-A90650A3CDA7}"/>
            </c:ext>
          </c:extLst>
        </c:ser>
        <c:dLbls>
          <c:dLblPos val="outEnd"/>
          <c:showLegendKey val="0"/>
          <c:showVal val="1"/>
          <c:showCatName val="0"/>
          <c:showSerName val="0"/>
          <c:showPercent val="0"/>
          <c:showBubbleSize val="0"/>
        </c:dLbls>
        <c:gapWidth val="100"/>
        <c:overlap val="-24"/>
        <c:axId val="1281309296"/>
        <c:axId val="588419184"/>
      </c:barChart>
      <c:catAx>
        <c:axId val="1281309296"/>
        <c:scaling>
          <c:orientation val="minMax"/>
        </c:scaling>
        <c:delete val="0"/>
        <c:axPos val="b"/>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588419184"/>
        <c:crosses val="autoZero"/>
        <c:auto val="1"/>
        <c:lblAlgn val="ctr"/>
        <c:lblOffset val="100"/>
        <c:noMultiLvlLbl val="0"/>
      </c:catAx>
      <c:valAx>
        <c:axId val="588419184"/>
        <c:scaling>
          <c:orientation val="minMax"/>
        </c:scaling>
        <c:delete val="1"/>
        <c:axPos val="l"/>
        <c:numFmt formatCode="0%" sourceLinked="1"/>
        <c:majorTickMark val="none"/>
        <c:minorTickMark val="none"/>
        <c:tickLblPos val="nextTo"/>
        <c:crossAx val="1281309296"/>
        <c:crosses val="autoZero"/>
        <c:crossBetween val="between"/>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1"/>
                </a:solidFill>
              </a:rPr>
              <a:t>SALES PERFORMANCEB DASHBOARD</a:t>
            </a:r>
          </a:p>
        </c:rich>
      </c:tx>
      <c:layout>
        <c:manualLayout>
          <c:xMode val="edge"/>
          <c:yMode val="edge"/>
          <c:x val="2.0149638802889579E-2"/>
          <c:y val="5.42592985969208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Pivot!$E$4:$E$10</c:f>
              <c:strCache>
                <c:ptCount val="6"/>
                <c:pt idx="0">
                  <c:v>Laptop</c:v>
                </c:pt>
                <c:pt idx="1">
                  <c:v>Monitor</c:v>
                </c:pt>
                <c:pt idx="2">
                  <c:v>Headset</c:v>
                </c:pt>
                <c:pt idx="3">
                  <c:v>Keyboard</c:v>
                </c:pt>
                <c:pt idx="4">
                  <c:v>Mouse</c:v>
                </c:pt>
                <c:pt idx="5">
                  <c:v>Mouse </c:v>
                </c:pt>
              </c:strCache>
            </c:strRef>
          </c:cat>
          <c:val>
            <c:numRef>
              <c:f>Pivot!$F$4:$F$10</c:f>
              <c:numCache>
                <c:formatCode>#,##0</c:formatCode>
                <c:ptCount val="6"/>
                <c:pt idx="0">
                  <c:v>1499972.4000000001</c:v>
                </c:pt>
                <c:pt idx="1">
                  <c:v>879964.95</c:v>
                </c:pt>
                <c:pt idx="2">
                  <c:v>109501.65000000001</c:v>
                </c:pt>
                <c:pt idx="3">
                  <c:v>67251.3</c:v>
                </c:pt>
                <c:pt idx="4">
                  <c:v>60466.55</c:v>
                </c:pt>
                <c:pt idx="5">
                  <c:v>12207.7</c:v>
                </c:pt>
              </c:numCache>
            </c:numRef>
          </c:val>
          <c:extLst>
            <c:ext xmlns:c16="http://schemas.microsoft.com/office/drawing/2014/chart" uri="{C3380CC4-5D6E-409C-BE32-E72D297353CC}">
              <c16:uniqueId val="{00000000-A832-4365-A7EC-7290E1EB9D32}"/>
            </c:ext>
          </c:extLst>
        </c:ser>
        <c:dLbls>
          <c:dLblPos val="outEnd"/>
          <c:showLegendKey val="0"/>
          <c:showVal val="1"/>
          <c:showCatName val="0"/>
          <c:showSerName val="0"/>
          <c:showPercent val="0"/>
          <c:showBubbleSize val="0"/>
        </c:dLbls>
        <c:gapWidth val="115"/>
        <c:overlap val="-20"/>
        <c:axId val="599749696"/>
        <c:axId val="1129449072"/>
      </c:barChart>
      <c:catAx>
        <c:axId val="599749696"/>
        <c:scaling>
          <c:orientation val="minMax"/>
        </c:scaling>
        <c:delete val="0"/>
        <c:axPos val="l"/>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9449072"/>
        <c:crosses val="autoZero"/>
        <c:auto val="1"/>
        <c:lblAlgn val="ctr"/>
        <c:lblOffset val="100"/>
        <c:noMultiLvlLbl val="0"/>
      </c:catAx>
      <c:valAx>
        <c:axId val="1129449072"/>
        <c:scaling>
          <c:orientation val="minMax"/>
        </c:scaling>
        <c:delete val="1"/>
        <c:axPos val="b"/>
        <c:numFmt formatCode="#,##0" sourceLinked="1"/>
        <c:majorTickMark val="none"/>
        <c:minorTickMark val="none"/>
        <c:tickLblPos val="nextTo"/>
        <c:crossAx val="599749696"/>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1"/>
                </a:solidFill>
              </a:rPr>
              <a:t>BUSINECC SALES</a:t>
            </a:r>
            <a:r>
              <a:rPr lang="en-US" sz="1800" b="1" baseline="0">
                <a:solidFill>
                  <a:schemeClr val="bg1"/>
                </a:solidFill>
              </a:rPr>
              <a:t> INSIGHTS</a:t>
            </a:r>
            <a:endParaRPr lang="en-US" sz="1800" b="1">
              <a:solidFill>
                <a:schemeClr val="bg1"/>
              </a:solidFill>
            </a:endParaRPr>
          </a:p>
        </c:rich>
      </c:tx>
      <c:layout>
        <c:manualLayout>
          <c:xMode val="edge"/>
          <c:yMode val="edge"/>
          <c:x val="1.4236001749781282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2.736318407960199E-2"/>
          <c:y val="0.19487019206164688"/>
          <c:w val="0.94527363184079605"/>
          <c:h val="0.6844862880997814"/>
        </c:manualLayout>
      </c:layout>
      <c:barChart>
        <c:barDir val="col"/>
        <c:grouping val="clustered"/>
        <c:varyColors val="0"/>
        <c:ser>
          <c:idx val="0"/>
          <c:order val="0"/>
          <c:tx>
            <c:strRef>
              <c:f>Pivot!$I$3</c:f>
              <c:strCache>
                <c:ptCount val="1"/>
                <c:pt idx="0">
                  <c:v>Total</c:v>
                </c:pt>
              </c:strCache>
            </c:strRef>
          </c:tx>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chemeClr val="tx2">
                  <a:lumMod val="50000"/>
                </a:schemeClr>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1D4-46CC-9A23-23FC4C9B34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Pivot!$H$4:$H$6</c:f>
              <c:strCache>
                <c:ptCount val="2"/>
                <c:pt idx="0">
                  <c:v>Electronics</c:v>
                </c:pt>
                <c:pt idx="1">
                  <c:v>Accessories</c:v>
                </c:pt>
              </c:strCache>
            </c:strRef>
          </c:cat>
          <c:val>
            <c:numRef>
              <c:f>Pivot!$I$4:$I$6</c:f>
              <c:numCache>
                <c:formatCode>#,##0</c:formatCode>
                <c:ptCount val="2"/>
                <c:pt idx="0">
                  <c:v>711452.65000000026</c:v>
                </c:pt>
                <c:pt idx="1">
                  <c:v>68550.87</c:v>
                </c:pt>
              </c:numCache>
            </c:numRef>
          </c:val>
          <c:extLst>
            <c:ext xmlns:c16="http://schemas.microsoft.com/office/drawing/2014/chart" uri="{C3380CC4-5D6E-409C-BE32-E72D297353CC}">
              <c16:uniqueId val="{00000002-E1D4-46CC-9A23-23FC4C9B3423}"/>
            </c:ext>
          </c:extLst>
        </c:ser>
        <c:dLbls>
          <c:dLblPos val="outEnd"/>
          <c:showLegendKey val="0"/>
          <c:showVal val="1"/>
          <c:showCatName val="0"/>
          <c:showSerName val="0"/>
          <c:showPercent val="0"/>
          <c:showBubbleSize val="0"/>
        </c:dLbls>
        <c:gapWidth val="100"/>
        <c:overlap val="-24"/>
        <c:axId val="603972128"/>
        <c:axId val="1129442832"/>
      </c:barChart>
      <c:catAx>
        <c:axId val="603972128"/>
        <c:scaling>
          <c:orientation val="minMax"/>
        </c:scaling>
        <c:delete val="0"/>
        <c:axPos val="b"/>
        <c:numFmt formatCode="General" sourceLinked="1"/>
        <c:majorTickMark val="none"/>
        <c:minorTickMark val="none"/>
        <c:tickLblPos val="nextTo"/>
        <c:spPr>
          <a:noFill/>
          <a:ln w="12700"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9442832"/>
        <c:crosses val="autoZero"/>
        <c:auto val="1"/>
        <c:lblAlgn val="ctr"/>
        <c:lblOffset val="100"/>
        <c:noMultiLvlLbl val="0"/>
      </c:catAx>
      <c:valAx>
        <c:axId val="1129442832"/>
        <c:scaling>
          <c:orientation val="minMax"/>
        </c:scaling>
        <c:delete val="1"/>
        <c:axPos val="l"/>
        <c:numFmt formatCode="#,##0" sourceLinked="1"/>
        <c:majorTickMark val="none"/>
        <c:minorTickMark val="none"/>
        <c:tickLblPos val="nextTo"/>
        <c:crossAx val="603972128"/>
        <c:crosses val="autoZero"/>
        <c:crossBetween val="between"/>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[Excel_Dashboard_Simple_Raw_Dataset.xlsx]Pivot!PivotTable1</c:name>
    <c:fmtId val="1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SALES &amp;</a:t>
            </a:r>
            <a:r>
              <a:rPr lang="en-IN" sz="1800" baseline="0"/>
              <a:t> PROFIT ANALYTICS DASHBOARD</a:t>
            </a:r>
            <a:endParaRPr lang="en-IN" sz="1800"/>
          </a:p>
        </c:rich>
      </c:tx>
      <c:layout>
        <c:manualLayout>
          <c:xMode val="edge"/>
          <c:yMode val="edge"/>
          <c:x val="2.1780567178056712E-2"/>
          <c:y val="1.851851851851851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tx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Profit</c:v>
                </c:pt>
              </c:strCache>
            </c:strRef>
          </c:tx>
          <c:spPr>
            <a:ln w="34925" cap="rnd">
              <a:solidFill>
                <a:schemeClr val="tx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tx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Pivot!$A$4:$A$10</c:f>
              <c:strCache>
                <c:ptCount val="6"/>
                <c:pt idx="0">
                  <c:v>Feb</c:v>
                </c:pt>
                <c:pt idx="1">
                  <c:v>Jun</c:v>
                </c:pt>
                <c:pt idx="2">
                  <c:v>Apr</c:v>
                </c:pt>
                <c:pt idx="3">
                  <c:v>Mar</c:v>
                </c:pt>
                <c:pt idx="4">
                  <c:v>May</c:v>
                </c:pt>
                <c:pt idx="5">
                  <c:v>Jan</c:v>
                </c:pt>
              </c:strCache>
            </c:strRef>
          </c:cat>
          <c:val>
            <c:numRef>
              <c:f>Pivot!$B$4:$B$10</c:f>
              <c:numCache>
                <c:formatCode>#,##0</c:formatCode>
                <c:ptCount val="6"/>
                <c:pt idx="0">
                  <c:v>213652.36000000002</c:v>
                </c:pt>
                <c:pt idx="1">
                  <c:v>168799.19999999998</c:v>
                </c:pt>
                <c:pt idx="2">
                  <c:v>141481.59</c:v>
                </c:pt>
                <c:pt idx="3">
                  <c:v>129291.87000000001</c:v>
                </c:pt>
                <c:pt idx="4">
                  <c:v>72112.219999999987</c:v>
                </c:pt>
                <c:pt idx="5">
                  <c:v>54666.280000000013</c:v>
                </c:pt>
              </c:numCache>
            </c:numRef>
          </c:val>
          <c:smooth val="0"/>
          <c:extLst>
            <c:ext xmlns:c16="http://schemas.microsoft.com/office/drawing/2014/chart" uri="{C3380CC4-5D6E-409C-BE32-E72D297353CC}">
              <c16:uniqueId val="{00000000-8B0F-4D54-A537-FC6063DEE324}"/>
            </c:ext>
          </c:extLst>
        </c:ser>
        <c:ser>
          <c:idx val="1"/>
          <c:order val="1"/>
          <c:tx>
            <c:strRef>
              <c:f>Pivot!$C$3</c:f>
              <c:strCache>
                <c:ptCount val="1"/>
                <c:pt idx="0">
                  <c:v>Sum of Sales</c:v>
                </c:pt>
              </c:strCache>
            </c:strRef>
          </c:tx>
          <c:spPr>
            <a:ln w="34925" cap="rnd">
              <a:solidFill>
                <a:schemeClr val="accent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Pivot!$A$4:$A$10</c:f>
              <c:strCache>
                <c:ptCount val="6"/>
                <c:pt idx="0">
                  <c:v>Feb</c:v>
                </c:pt>
                <c:pt idx="1">
                  <c:v>Jun</c:v>
                </c:pt>
                <c:pt idx="2">
                  <c:v>Apr</c:v>
                </c:pt>
                <c:pt idx="3">
                  <c:v>Mar</c:v>
                </c:pt>
                <c:pt idx="4">
                  <c:v>May</c:v>
                </c:pt>
                <c:pt idx="5">
                  <c:v>Jan</c:v>
                </c:pt>
              </c:strCache>
            </c:strRef>
          </c:cat>
          <c:val>
            <c:numRef>
              <c:f>Pivot!$C$4:$C$10</c:f>
              <c:numCache>
                <c:formatCode>#,##0</c:formatCode>
                <c:ptCount val="6"/>
                <c:pt idx="0">
                  <c:v>662610.15</c:v>
                </c:pt>
                <c:pt idx="1">
                  <c:v>615611.19999999995</c:v>
                </c:pt>
                <c:pt idx="2">
                  <c:v>496053.4</c:v>
                </c:pt>
                <c:pt idx="3">
                  <c:v>411976.65</c:v>
                </c:pt>
                <c:pt idx="4">
                  <c:v>265665.5</c:v>
                </c:pt>
                <c:pt idx="5">
                  <c:v>177447.65</c:v>
                </c:pt>
              </c:numCache>
            </c:numRef>
          </c:val>
          <c:smooth val="0"/>
          <c:extLst>
            <c:ext xmlns:c16="http://schemas.microsoft.com/office/drawing/2014/chart" uri="{C3380CC4-5D6E-409C-BE32-E72D297353CC}">
              <c16:uniqueId val="{00000001-8B0F-4D54-A537-FC6063DEE324}"/>
            </c:ext>
          </c:extLst>
        </c:ser>
        <c:dLbls>
          <c:dLblPos val="t"/>
          <c:showLegendKey val="0"/>
          <c:showVal val="1"/>
          <c:showCatName val="0"/>
          <c:showSerName val="0"/>
          <c:showPercent val="0"/>
          <c:showBubbleSize val="0"/>
        </c:dLbls>
        <c:marker val="1"/>
        <c:smooth val="0"/>
        <c:axId val="1159436896"/>
        <c:axId val="1129359792"/>
      </c:lineChart>
      <c:catAx>
        <c:axId val="1159436896"/>
        <c:scaling>
          <c:orientation val="minMax"/>
        </c:scaling>
        <c:delete val="0"/>
        <c:axPos val="b"/>
        <c:numFmt formatCode="General" sourceLinked="1"/>
        <c:majorTickMark val="none"/>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9359792"/>
        <c:crosses val="autoZero"/>
        <c:auto val="1"/>
        <c:lblAlgn val="ctr"/>
        <c:lblOffset val="100"/>
        <c:noMultiLvlLbl val="0"/>
      </c:catAx>
      <c:valAx>
        <c:axId val="1129359792"/>
        <c:scaling>
          <c:orientation val="minMax"/>
        </c:scaling>
        <c:delete val="1"/>
        <c:axPos val="l"/>
        <c:numFmt formatCode="#,##0" sourceLinked="1"/>
        <c:majorTickMark val="none"/>
        <c:minorTickMark val="none"/>
        <c:tickLblPos val="nextTo"/>
        <c:crossAx val="1159436896"/>
        <c:crosses val="autoZero"/>
        <c:crossBetween val="between"/>
      </c:valAx>
      <c:spPr>
        <a:noFill/>
        <a:ln>
          <a:solidFill>
            <a:schemeClr val="bg2">
              <a:lumMod val="10000"/>
            </a:schemeClr>
          </a:solid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1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chart" Target="../charts/chart1.xml"/><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svg"/><Relationship Id="rId15" Type="http://schemas.openxmlformats.org/officeDocument/2006/relationships/chart" Target="../charts/chart3.xml"/><Relationship Id="rId10" Type="http://schemas.openxmlformats.org/officeDocument/2006/relationships/image" Target="../media/image8.svg"/><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2.svg"/></Relationships>
</file>

<file path=xl/drawings/_rels/drawing2.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62754</xdr:rowOff>
    </xdr:from>
    <xdr:to>
      <xdr:col>27</xdr:col>
      <xdr:colOff>289560</xdr:colOff>
      <xdr:row>64</xdr:row>
      <xdr:rowOff>42334</xdr:rowOff>
    </xdr:to>
    <xdr:pic>
      <xdr:nvPicPr>
        <xdr:cNvPr id="2" name="Picture 1" descr="9,900+ Data Dashboard Background Illustrations - iStock">
          <a:extLst>
            <a:ext uri="{FF2B5EF4-FFF2-40B4-BE49-F238E27FC236}">
              <a16:creationId xmlns:a16="http://schemas.microsoft.com/office/drawing/2014/main" id="{88A5528B-0BFC-8C37-38B4-EFDDC5C5D4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54"/>
          <a:ext cx="16748760" cy="1145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344772</xdr:colOff>
      <xdr:row>46</xdr:row>
      <xdr:rowOff>16350</xdr:rowOff>
    </xdr:from>
    <xdr:to>
      <xdr:col>13</xdr:col>
      <xdr:colOff>382057</xdr:colOff>
      <xdr:row>61</xdr:row>
      <xdr:rowOff>9767</xdr:rowOff>
    </xdr:to>
    <xdr:graphicFrame macro="">
      <xdr:nvGraphicFramePr>
        <xdr:cNvPr id="8" name="Chart 7">
          <a:extLst>
            <a:ext uri="{FF2B5EF4-FFF2-40B4-BE49-F238E27FC236}">
              <a16:creationId xmlns:a16="http://schemas.microsoft.com/office/drawing/2014/main" id="{C5DC463B-CCAA-467D-AF5B-A21127AE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445559</xdr:colOff>
      <xdr:row>46</xdr:row>
      <xdr:rowOff>6942</xdr:rowOff>
    </xdr:from>
    <xdr:to>
      <xdr:col>26</xdr:col>
      <xdr:colOff>407459</xdr:colOff>
      <xdr:row>61</xdr:row>
      <xdr:rowOff>358</xdr:rowOff>
    </xdr:to>
    <xdr:graphicFrame macro="">
      <xdr:nvGraphicFramePr>
        <xdr:cNvPr id="12" name="Chart 11">
          <a:extLst>
            <a:ext uri="{FF2B5EF4-FFF2-40B4-BE49-F238E27FC236}">
              <a16:creationId xmlns:a16="http://schemas.microsoft.com/office/drawing/2014/main" id="{40CB3893-F1F9-45F9-BE20-DAC4D711F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99060</xdr:colOff>
      <xdr:row>0</xdr:row>
      <xdr:rowOff>91440</xdr:rowOff>
    </xdr:from>
    <xdr:ext cx="8073390" cy="601980"/>
    <xdr:sp macro="" textlink="">
      <xdr:nvSpPr>
        <xdr:cNvPr id="42" name="TextBox 41">
          <a:extLst>
            <a:ext uri="{FF2B5EF4-FFF2-40B4-BE49-F238E27FC236}">
              <a16:creationId xmlns:a16="http://schemas.microsoft.com/office/drawing/2014/main" id="{CAC4ED2A-2258-3EBD-93E0-71BE08A063F4}"/>
            </a:ext>
          </a:extLst>
        </xdr:cNvPr>
        <xdr:cNvSpPr txBox="1"/>
      </xdr:nvSpPr>
      <xdr:spPr>
        <a:xfrm>
          <a:off x="99060" y="91440"/>
          <a:ext cx="807339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i="0" u="none">
              <a:solidFill>
                <a:schemeClr val="bg1"/>
              </a:solidFill>
            </a:rPr>
            <a:t>SALES &amp; PROFIT ANALYTICS</a:t>
          </a:r>
          <a:r>
            <a:rPr lang="en-IN" sz="3200" b="1" i="0" u="none" baseline="0">
              <a:solidFill>
                <a:schemeClr val="bg1"/>
              </a:solidFill>
            </a:rPr>
            <a:t> </a:t>
          </a:r>
          <a:r>
            <a:rPr lang="en-IN" sz="3200" b="1" i="0" u="none">
              <a:solidFill>
                <a:schemeClr val="bg1"/>
              </a:solidFill>
            </a:rPr>
            <a:t>DASHBOARD</a:t>
          </a:r>
        </a:p>
      </xdr:txBody>
    </xdr:sp>
    <xdr:clientData/>
  </xdr:oneCellAnchor>
  <xdr:twoCellAnchor editAs="oneCell">
    <xdr:from>
      <xdr:col>11</xdr:col>
      <xdr:colOff>336913</xdr:colOff>
      <xdr:row>0</xdr:row>
      <xdr:rowOff>106407</xdr:rowOff>
    </xdr:from>
    <xdr:to>
      <xdr:col>12</xdr:col>
      <xdr:colOff>550273</xdr:colOff>
      <xdr:row>3</xdr:row>
      <xdr:rowOff>121647</xdr:rowOff>
    </xdr:to>
    <xdr:pic>
      <xdr:nvPicPr>
        <xdr:cNvPr id="44" name="Graphic 43" descr="Star">
          <a:extLst>
            <a:ext uri="{FF2B5EF4-FFF2-40B4-BE49-F238E27FC236}">
              <a16:creationId xmlns:a16="http://schemas.microsoft.com/office/drawing/2014/main" id="{44E7D64A-CE8A-2D03-446E-1815457301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042513" y="106407"/>
          <a:ext cx="822960" cy="558165"/>
        </a:xfrm>
        <a:prstGeom prst="rect">
          <a:avLst/>
        </a:prstGeom>
      </xdr:spPr>
    </xdr:pic>
    <xdr:clientData/>
  </xdr:twoCellAnchor>
  <xdr:twoCellAnchor>
    <xdr:from>
      <xdr:col>0</xdr:col>
      <xdr:colOff>179294</xdr:colOff>
      <xdr:row>10</xdr:row>
      <xdr:rowOff>126306</xdr:rowOff>
    </xdr:from>
    <xdr:to>
      <xdr:col>4</xdr:col>
      <xdr:colOff>395166</xdr:colOff>
      <xdr:row>14</xdr:row>
      <xdr:rowOff>156180</xdr:rowOff>
    </xdr:to>
    <xdr:grpSp>
      <xdr:nvGrpSpPr>
        <xdr:cNvPr id="160" name="Group 159">
          <a:extLst>
            <a:ext uri="{FF2B5EF4-FFF2-40B4-BE49-F238E27FC236}">
              <a16:creationId xmlns:a16="http://schemas.microsoft.com/office/drawing/2014/main" id="{D00ED225-26D3-3841-80E4-A943069FF9AD}"/>
            </a:ext>
          </a:extLst>
        </xdr:cNvPr>
        <xdr:cNvGrpSpPr/>
      </xdr:nvGrpSpPr>
      <xdr:grpSpPr>
        <a:xfrm>
          <a:off x="179294" y="1904306"/>
          <a:ext cx="2654272" cy="741074"/>
          <a:chOff x="30751" y="1953985"/>
          <a:chExt cx="2506980" cy="753774"/>
        </a:xfrm>
      </xdr:grpSpPr>
      <xdr:sp macro="" textlink="">
        <xdr:nvSpPr>
          <xdr:cNvPr id="13" name="Rectangle: Rounded Corners 12">
            <a:extLst>
              <a:ext uri="{FF2B5EF4-FFF2-40B4-BE49-F238E27FC236}">
                <a16:creationId xmlns:a16="http://schemas.microsoft.com/office/drawing/2014/main" id="{19B4E5A7-D18A-6F9C-3949-C8531C254BCF}"/>
              </a:ext>
            </a:extLst>
          </xdr:cNvPr>
          <xdr:cNvSpPr/>
        </xdr:nvSpPr>
        <xdr:spPr>
          <a:xfrm>
            <a:off x="30751" y="1953985"/>
            <a:ext cx="2506980" cy="723899"/>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TOTAL SALES</a:t>
            </a:r>
          </a:p>
        </xdr:txBody>
      </xdr:sp>
      <xdr:pic>
        <xdr:nvPicPr>
          <xdr:cNvPr id="27" name="Picture 26">
            <a:extLst>
              <a:ext uri="{FF2B5EF4-FFF2-40B4-BE49-F238E27FC236}">
                <a16:creationId xmlns:a16="http://schemas.microsoft.com/office/drawing/2014/main" id="{43AE3C3D-945A-692D-DC73-858E0B8D6D53}"/>
              </a:ext>
            </a:extLst>
          </xdr:cNvPr>
          <xdr:cNvPicPr>
            <a:picLocks noChangeAspect="1"/>
          </xdr:cNvPicPr>
        </xdr:nvPicPr>
        <xdr:blipFill>
          <a:blip xmlns:r="http://schemas.openxmlformats.org/officeDocument/2006/relationships" r:embed="rId6"/>
          <a:stretch>
            <a:fillRect/>
          </a:stretch>
        </xdr:blipFill>
        <xdr:spPr>
          <a:xfrm>
            <a:off x="119743" y="1974124"/>
            <a:ext cx="670560" cy="685799"/>
          </a:xfrm>
          <a:prstGeom prst="rect">
            <a:avLst/>
          </a:prstGeom>
        </xdr:spPr>
      </xdr:pic>
      <xdr:sp macro="" textlink="Pivot!I12">
        <xdr:nvSpPr>
          <xdr:cNvPr id="45" name="TextBox 44">
            <a:extLst>
              <a:ext uri="{FF2B5EF4-FFF2-40B4-BE49-F238E27FC236}">
                <a16:creationId xmlns:a16="http://schemas.microsoft.com/office/drawing/2014/main" id="{049EF47C-068C-8E3A-F68F-01CABBEC044F}"/>
              </a:ext>
            </a:extLst>
          </xdr:cNvPr>
          <xdr:cNvSpPr txBox="1"/>
        </xdr:nvSpPr>
        <xdr:spPr>
          <a:xfrm>
            <a:off x="696687" y="2302327"/>
            <a:ext cx="142289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7D76732-297F-44C3-B9B6-65DFB690CE08}" type="TxLink">
              <a:rPr lang="en-US" sz="2000" b="1" i="0" u="none" strike="noStrike">
                <a:solidFill>
                  <a:schemeClr val="bg1"/>
                </a:solidFill>
                <a:latin typeface="Calibri"/>
                <a:ea typeface="Calibri"/>
                <a:cs typeface="Calibri"/>
              </a:rPr>
              <a:pPr/>
              <a:t>26,29,365</a:t>
            </a:fld>
            <a:endParaRPr lang="en-IN" sz="2000" b="1">
              <a:solidFill>
                <a:schemeClr val="bg1"/>
              </a:solidFill>
            </a:endParaRPr>
          </a:p>
        </xdr:txBody>
      </xdr:sp>
    </xdr:grpSp>
    <xdr:clientData/>
  </xdr:twoCellAnchor>
  <xdr:twoCellAnchor>
    <xdr:from>
      <xdr:col>4</xdr:col>
      <xdr:colOff>430306</xdr:colOff>
      <xdr:row>10</xdr:row>
      <xdr:rowOff>145325</xdr:rowOff>
    </xdr:from>
    <xdr:to>
      <xdr:col>17</xdr:col>
      <xdr:colOff>430162</xdr:colOff>
      <xdr:row>15</xdr:row>
      <xdr:rowOff>544</xdr:rowOff>
    </xdr:to>
    <xdr:grpSp>
      <xdr:nvGrpSpPr>
        <xdr:cNvPr id="82" name="Group 81">
          <a:extLst>
            <a:ext uri="{FF2B5EF4-FFF2-40B4-BE49-F238E27FC236}">
              <a16:creationId xmlns:a16="http://schemas.microsoft.com/office/drawing/2014/main" id="{65833FBA-DD1A-8D76-98D4-B288184B1C29}"/>
            </a:ext>
          </a:extLst>
        </xdr:cNvPr>
        <xdr:cNvGrpSpPr/>
      </xdr:nvGrpSpPr>
      <xdr:grpSpPr>
        <a:xfrm>
          <a:off x="2868706" y="1923325"/>
          <a:ext cx="7924656" cy="744219"/>
          <a:chOff x="2712720" y="1100546"/>
          <a:chExt cx="7848600" cy="780505"/>
        </a:xfrm>
      </xdr:grpSpPr>
      <xdr:sp macro="" textlink="">
        <xdr:nvSpPr>
          <xdr:cNvPr id="19" name="Rectangle: Rounded Corners 18">
            <a:extLst>
              <a:ext uri="{FF2B5EF4-FFF2-40B4-BE49-F238E27FC236}">
                <a16:creationId xmlns:a16="http://schemas.microsoft.com/office/drawing/2014/main" id="{2664075B-EAEC-AE7E-58EF-C4BC2800702F}"/>
              </a:ext>
            </a:extLst>
          </xdr:cNvPr>
          <xdr:cNvSpPr/>
        </xdr:nvSpPr>
        <xdr:spPr>
          <a:xfrm>
            <a:off x="2712720" y="1100546"/>
            <a:ext cx="2506980" cy="740228"/>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  TOTAL PROFIT</a:t>
            </a:r>
          </a:p>
        </xdr:txBody>
      </xdr:sp>
      <xdr:pic>
        <xdr:nvPicPr>
          <xdr:cNvPr id="31" name="Picture 30">
            <a:extLst>
              <a:ext uri="{FF2B5EF4-FFF2-40B4-BE49-F238E27FC236}">
                <a16:creationId xmlns:a16="http://schemas.microsoft.com/office/drawing/2014/main" id="{D2C2C3B6-8376-2E01-AEA6-9685CED35B7B}"/>
              </a:ext>
            </a:extLst>
          </xdr:cNvPr>
          <xdr:cNvPicPr>
            <a:picLocks noChangeAspect="1"/>
          </xdr:cNvPicPr>
        </xdr:nvPicPr>
        <xdr:blipFill>
          <a:blip xmlns:r="http://schemas.openxmlformats.org/officeDocument/2006/relationships" r:embed="rId7"/>
          <a:stretch>
            <a:fillRect/>
          </a:stretch>
        </xdr:blipFill>
        <xdr:spPr>
          <a:xfrm>
            <a:off x="2781300" y="1140823"/>
            <a:ext cx="487680" cy="600891"/>
          </a:xfrm>
          <a:prstGeom prst="rect">
            <a:avLst/>
          </a:prstGeom>
        </xdr:spPr>
      </xdr:pic>
      <xdr:sp macro="" textlink="Pivot!I15">
        <xdr:nvSpPr>
          <xdr:cNvPr id="46" name="TextBox 45">
            <a:extLst>
              <a:ext uri="{FF2B5EF4-FFF2-40B4-BE49-F238E27FC236}">
                <a16:creationId xmlns:a16="http://schemas.microsoft.com/office/drawing/2014/main" id="{481561A7-ACB9-4488-8EE8-CB965782C353}"/>
              </a:ext>
            </a:extLst>
          </xdr:cNvPr>
          <xdr:cNvSpPr txBox="1"/>
        </xdr:nvSpPr>
        <xdr:spPr>
          <a:xfrm>
            <a:off x="3429001" y="1436915"/>
            <a:ext cx="12891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17473E-FB29-4E7E-B309-AEB3BA91C061}" type="TxLink">
              <a:rPr lang="en-US" sz="2000" b="1" i="0" u="none" strike="noStrike">
                <a:solidFill>
                  <a:schemeClr val="bg1"/>
                </a:solidFill>
                <a:latin typeface="Calibri"/>
                <a:ea typeface="Calibri"/>
                <a:cs typeface="Calibri"/>
              </a:rPr>
              <a:pPr/>
              <a:t>7,80,004</a:t>
            </a:fld>
            <a:endParaRPr lang="en-IN" sz="2000" b="1">
              <a:solidFill>
                <a:schemeClr val="bg1"/>
              </a:solidFill>
            </a:endParaRPr>
          </a:p>
        </xdr:txBody>
      </xdr:sp>
      <xdr:grpSp>
        <xdr:nvGrpSpPr>
          <xdr:cNvPr id="65" name="Group 64">
            <a:extLst>
              <a:ext uri="{FF2B5EF4-FFF2-40B4-BE49-F238E27FC236}">
                <a16:creationId xmlns:a16="http://schemas.microsoft.com/office/drawing/2014/main" id="{AE834577-B097-32EA-68C2-6F15427E31D3}"/>
              </a:ext>
            </a:extLst>
          </xdr:cNvPr>
          <xdr:cNvGrpSpPr/>
        </xdr:nvGrpSpPr>
        <xdr:grpSpPr>
          <a:xfrm>
            <a:off x="5227320" y="1110343"/>
            <a:ext cx="5334000" cy="770708"/>
            <a:chOff x="5227320" y="1110343"/>
            <a:chExt cx="5334000" cy="770708"/>
          </a:xfrm>
        </xdr:grpSpPr>
        <xdr:sp macro="" textlink="">
          <xdr:nvSpPr>
            <xdr:cNvPr id="20" name="Rectangle: Rounded Corners 19">
              <a:extLst>
                <a:ext uri="{FF2B5EF4-FFF2-40B4-BE49-F238E27FC236}">
                  <a16:creationId xmlns:a16="http://schemas.microsoft.com/office/drawing/2014/main" id="{417EBECE-F7F1-C34B-0784-B3AE14C04A29}"/>
                </a:ext>
              </a:extLst>
            </xdr:cNvPr>
            <xdr:cNvSpPr/>
          </xdr:nvSpPr>
          <xdr:spPr>
            <a:xfrm>
              <a:off x="5257800" y="1110343"/>
              <a:ext cx="2506980" cy="740228"/>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     TOTAL</a:t>
              </a:r>
              <a:r>
                <a:rPr lang="en-IN" sz="2000" b="1" baseline="0">
                  <a:solidFill>
                    <a:schemeClr val="bg1"/>
                  </a:solidFill>
                </a:rPr>
                <a:t> ORDARS</a:t>
              </a:r>
              <a:endParaRPr lang="en-IN" sz="2000" b="1">
                <a:solidFill>
                  <a:schemeClr val="bg1"/>
                </a:solidFill>
              </a:endParaRPr>
            </a:p>
          </xdr:txBody>
        </xdr:sp>
        <xdr:pic>
          <xdr:nvPicPr>
            <xdr:cNvPr id="32" name="Picture 31">
              <a:extLst>
                <a:ext uri="{FF2B5EF4-FFF2-40B4-BE49-F238E27FC236}">
                  <a16:creationId xmlns:a16="http://schemas.microsoft.com/office/drawing/2014/main" id="{60498B8A-8922-6B7A-FB26-293ED82A0BDB}"/>
                </a:ext>
              </a:extLst>
            </xdr:cNvPr>
            <xdr:cNvPicPr>
              <a:picLocks noChangeAspect="1"/>
            </xdr:cNvPicPr>
          </xdr:nvPicPr>
          <xdr:blipFill>
            <a:blip xmlns:r="http://schemas.openxmlformats.org/officeDocument/2006/relationships" r:embed="rId8"/>
            <a:stretch>
              <a:fillRect/>
            </a:stretch>
          </xdr:blipFill>
          <xdr:spPr>
            <a:xfrm>
              <a:off x="5227320" y="1133203"/>
              <a:ext cx="716280" cy="669471"/>
            </a:xfrm>
            <a:prstGeom prst="rect">
              <a:avLst/>
            </a:prstGeom>
          </xdr:spPr>
        </xdr:pic>
        <xdr:sp macro="" textlink="Pivot!I18">
          <xdr:nvSpPr>
            <xdr:cNvPr id="47" name="TextBox 46">
              <a:extLst>
                <a:ext uri="{FF2B5EF4-FFF2-40B4-BE49-F238E27FC236}">
                  <a16:creationId xmlns:a16="http://schemas.microsoft.com/office/drawing/2014/main" id="{8D13FFBD-2465-E984-505A-AF2725D776E8}"/>
                </a:ext>
              </a:extLst>
            </xdr:cNvPr>
            <xdr:cNvSpPr txBox="1"/>
          </xdr:nvSpPr>
          <xdr:spPr>
            <a:xfrm>
              <a:off x="6346371" y="1426028"/>
              <a:ext cx="44460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D30D130-8F67-4028-9A1B-3AC9DFB89AB0}" type="TxLink">
                <a:rPr lang="en-US" sz="2000" b="1" i="0" u="none" strike="noStrike">
                  <a:solidFill>
                    <a:schemeClr val="bg1"/>
                  </a:solidFill>
                  <a:latin typeface="Calibri"/>
                  <a:ea typeface="Calibri"/>
                  <a:cs typeface="Calibri"/>
                </a:rPr>
                <a:pPr/>
                <a:t>80</a:t>
              </a:fld>
              <a:endParaRPr lang="en-IN" sz="2000" b="1">
                <a:solidFill>
                  <a:schemeClr val="bg1"/>
                </a:solidFill>
              </a:endParaRPr>
            </a:p>
          </xdr:txBody>
        </xdr:sp>
        <xdr:grpSp>
          <xdr:nvGrpSpPr>
            <xdr:cNvPr id="64" name="Group 63">
              <a:extLst>
                <a:ext uri="{FF2B5EF4-FFF2-40B4-BE49-F238E27FC236}">
                  <a16:creationId xmlns:a16="http://schemas.microsoft.com/office/drawing/2014/main" id="{2B0047CB-225E-1C6B-039D-A4ACA8669692}"/>
                </a:ext>
              </a:extLst>
            </xdr:cNvPr>
            <xdr:cNvGrpSpPr/>
          </xdr:nvGrpSpPr>
          <xdr:grpSpPr>
            <a:xfrm>
              <a:off x="7764780" y="1140823"/>
              <a:ext cx="2796540" cy="740228"/>
              <a:chOff x="7764780" y="1140823"/>
              <a:chExt cx="2796540" cy="740228"/>
            </a:xfrm>
          </xdr:grpSpPr>
          <xdr:sp macro="" textlink="">
            <xdr:nvSpPr>
              <xdr:cNvPr id="21" name="Rectangle: Rounded Corners 20">
                <a:extLst>
                  <a:ext uri="{FF2B5EF4-FFF2-40B4-BE49-F238E27FC236}">
                    <a16:creationId xmlns:a16="http://schemas.microsoft.com/office/drawing/2014/main" id="{7FB528A1-7975-DEAC-50B6-95605B3EC7D7}"/>
                  </a:ext>
                </a:extLst>
              </xdr:cNvPr>
              <xdr:cNvSpPr/>
            </xdr:nvSpPr>
            <xdr:spPr>
              <a:xfrm>
                <a:off x="7802880" y="1140823"/>
                <a:ext cx="2758440" cy="740228"/>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TOTAL QUANTITY SOLD</a:t>
                </a:r>
              </a:p>
            </xdr:txBody>
          </xdr:sp>
          <xdr:pic>
            <xdr:nvPicPr>
              <xdr:cNvPr id="36" name="Graphic 35" descr="Shopping cart">
                <a:extLst>
                  <a:ext uri="{FF2B5EF4-FFF2-40B4-BE49-F238E27FC236}">
                    <a16:creationId xmlns:a16="http://schemas.microsoft.com/office/drawing/2014/main" id="{0EDA2052-0727-235C-ABE2-DDBE164994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64780" y="1232263"/>
                <a:ext cx="472440" cy="354874"/>
              </a:xfrm>
              <a:prstGeom prst="rect">
                <a:avLst/>
              </a:prstGeom>
            </xdr:spPr>
          </xdr:pic>
          <xdr:sp macro="" textlink="Pivot!I21">
            <xdr:nvSpPr>
              <xdr:cNvPr id="48" name="TextBox 47">
                <a:extLst>
                  <a:ext uri="{FF2B5EF4-FFF2-40B4-BE49-F238E27FC236}">
                    <a16:creationId xmlns:a16="http://schemas.microsoft.com/office/drawing/2014/main" id="{0E572233-9502-644C-D9AF-0C8809874227}"/>
                  </a:ext>
                </a:extLst>
              </xdr:cNvPr>
              <xdr:cNvSpPr txBox="1"/>
            </xdr:nvSpPr>
            <xdr:spPr>
              <a:xfrm>
                <a:off x="8817428" y="1426028"/>
                <a:ext cx="57694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C39071A-73D2-4257-B3CC-D47ED6335AF5}" type="TxLink">
                  <a:rPr lang="en-US" sz="2000" b="1" i="0" u="none" strike="noStrike">
                    <a:solidFill>
                      <a:schemeClr val="bg1"/>
                    </a:solidFill>
                    <a:latin typeface="Calibri"/>
                    <a:ea typeface="Calibri"/>
                    <a:cs typeface="Calibri"/>
                  </a:rPr>
                  <a:pPr/>
                  <a:t>219</a:t>
                </a:fld>
                <a:endParaRPr lang="en-IN" sz="2000" b="1">
                  <a:solidFill>
                    <a:schemeClr val="bg1"/>
                  </a:solidFill>
                </a:endParaRPr>
              </a:p>
            </xdr:txBody>
          </xdr:sp>
        </xdr:grpSp>
      </xdr:grpSp>
    </xdr:grpSp>
    <xdr:clientData/>
  </xdr:twoCellAnchor>
  <xdr:twoCellAnchor>
    <xdr:from>
      <xdr:col>17</xdr:col>
      <xdr:colOff>466165</xdr:colOff>
      <xdr:row>10</xdr:row>
      <xdr:rowOff>108870</xdr:rowOff>
    </xdr:from>
    <xdr:to>
      <xdr:col>26</xdr:col>
      <xdr:colOff>72614</xdr:colOff>
      <xdr:row>15</xdr:row>
      <xdr:rowOff>13277</xdr:rowOff>
    </xdr:to>
    <xdr:grpSp>
      <xdr:nvGrpSpPr>
        <xdr:cNvPr id="63" name="Group 62">
          <a:extLst>
            <a:ext uri="{FF2B5EF4-FFF2-40B4-BE49-F238E27FC236}">
              <a16:creationId xmlns:a16="http://schemas.microsoft.com/office/drawing/2014/main" id="{07547786-2552-BF33-3E15-88758310087E}"/>
            </a:ext>
          </a:extLst>
        </xdr:cNvPr>
        <xdr:cNvGrpSpPr/>
      </xdr:nvGrpSpPr>
      <xdr:grpSpPr>
        <a:xfrm>
          <a:off x="10829365" y="1886870"/>
          <a:ext cx="5092849" cy="793407"/>
          <a:chOff x="10606528" y="1110343"/>
          <a:chExt cx="5092849" cy="830036"/>
        </a:xfrm>
      </xdr:grpSpPr>
      <xdr:sp macro="" textlink="">
        <xdr:nvSpPr>
          <xdr:cNvPr id="22" name="Rectangle: Rounded Corners 21">
            <a:extLst>
              <a:ext uri="{FF2B5EF4-FFF2-40B4-BE49-F238E27FC236}">
                <a16:creationId xmlns:a16="http://schemas.microsoft.com/office/drawing/2014/main" id="{6FDFA11F-018D-68FE-DE44-7C88E62B04CD}"/>
              </a:ext>
            </a:extLst>
          </xdr:cNvPr>
          <xdr:cNvSpPr/>
        </xdr:nvSpPr>
        <xdr:spPr>
          <a:xfrm>
            <a:off x="10606528" y="1200151"/>
            <a:ext cx="2536067" cy="740228"/>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TOTAL COST</a:t>
            </a:r>
          </a:p>
        </xdr:txBody>
      </xdr:sp>
      <xdr:pic>
        <xdr:nvPicPr>
          <xdr:cNvPr id="39" name="Graphic 38" descr="Money">
            <a:extLst>
              <a:ext uri="{FF2B5EF4-FFF2-40B4-BE49-F238E27FC236}">
                <a16:creationId xmlns:a16="http://schemas.microsoft.com/office/drawing/2014/main" id="{768EE3E5-9267-AC64-0946-C90308B9C50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45140" y="1110343"/>
            <a:ext cx="792480" cy="530134"/>
          </a:xfrm>
          <a:prstGeom prst="rect">
            <a:avLst/>
          </a:prstGeom>
        </xdr:spPr>
      </xdr:pic>
      <xdr:sp macro="" textlink="Pivot!I24">
        <xdr:nvSpPr>
          <xdr:cNvPr id="49" name="TextBox 48">
            <a:extLst>
              <a:ext uri="{FF2B5EF4-FFF2-40B4-BE49-F238E27FC236}">
                <a16:creationId xmlns:a16="http://schemas.microsoft.com/office/drawing/2014/main" id="{AA6B09C4-2D64-E326-DC2E-D69B289E7637}"/>
              </a:ext>
            </a:extLst>
          </xdr:cNvPr>
          <xdr:cNvSpPr txBox="1"/>
        </xdr:nvSpPr>
        <xdr:spPr>
          <a:xfrm>
            <a:off x="11419115" y="1491343"/>
            <a:ext cx="142289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E032A1-E2D0-486F-89B3-80D6AB79D26D}" type="TxLink">
              <a:rPr lang="en-US" sz="2000" b="1" i="0" u="none" strike="noStrike">
                <a:solidFill>
                  <a:schemeClr val="bg1"/>
                </a:solidFill>
                <a:latin typeface="Calibri"/>
                <a:ea typeface="Calibri"/>
                <a:cs typeface="Calibri"/>
              </a:rPr>
              <a:pPr/>
              <a:t>18,49,361</a:t>
            </a:fld>
            <a:endParaRPr lang="en-IN" sz="2000" b="1" i="0">
              <a:solidFill>
                <a:schemeClr val="bg1"/>
              </a:solidFill>
            </a:endParaRPr>
          </a:p>
        </xdr:txBody>
      </xdr:sp>
      <xdr:grpSp>
        <xdr:nvGrpSpPr>
          <xdr:cNvPr id="62" name="Group 61">
            <a:extLst>
              <a:ext uri="{FF2B5EF4-FFF2-40B4-BE49-F238E27FC236}">
                <a16:creationId xmlns:a16="http://schemas.microsoft.com/office/drawing/2014/main" id="{E4BD22B5-D407-C5EB-680B-B76270B37108}"/>
              </a:ext>
            </a:extLst>
          </xdr:cNvPr>
          <xdr:cNvGrpSpPr/>
        </xdr:nvGrpSpPr>
        <xdr:grpSpPr>
          <a:xfrm>
            <a:off x="13192397" y="1195999"/>
            <a:ext cx="2506980" cy="740228"/>
            <a:chOff x="13192397" y="1195999"/>
            <a:chExt cx="2506980" cy="740228"/>
          </a:xfrm>
        </xdr:grpSpPr>
        <xdr:sp macro="" textlink="">
          <xdr:nvSpPr>
            <xdr:cNvPr id="37" name="Rectangle: Rounded Corners 36">
              <a:extLst>
                <a:ext uri="{FF2B5EF4-FFF2-40B4-BE49-F238E27FC236}">
                  <a16:creationId xmlns:a16="http://schemas.microsoft.com/office/drawing/2014/main" id="{C1F32A05-39ED-E4EC-A914-B56BE40CCEEB}"/>
                </a:ext>
              </a:extLst>
            </xdr:cNvPr>
            <xdr:cNvSpPr/>
          </xdr:nvSpPr>
          <xdr:spPr>
            <a:xfrm>
              <a:off x="13192397" y="1195999"/>
              <a:ext cx="2506980" cy="740228"/>
            </a:xfrm>
            <a:prstGeom prst="roundRect">
              <a:avLst>
                <a:gd name="adj" fmla="val 19792"/>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PROFIT MARGIN</a:t>
              </a:r>
              <a:r>
                <a:rPr lang="en-IN" sz="2000" b="1" baseline="0">
                  <a:solidFill>
                    <a:schemeClr val="bg1"/>
                  </a:solidFill>
                </a:rPr>
                <a:t> </a:t>
              </a:r>
              <a:r>
                <a:rPr lang="en-IN" sz="2000" b="1">
                  <a:solidFill>
                    <a:schemeClr val="bg1"/>
                  </a:solidFill>
                </a:rPr>
                <a:t>%</a:t>
              </a:r>
            </a:p>
          </xdr:txBody>
        </xdr:sp>
        <xdr:pic>
          <xdr:nvPicPr>
            <xdr:cNvPr id="41" name="Graphic 40" descr="Bar chart">
              <a:extLst>
                <a:ext uri="{FF2B5EF4-FFF2-40B4-BE49-F238E27FC236}">
                  <a16:creationId xmlns:a16="http://schemas.microsoft.com/office/drawing/2014/main" id="{4FECD578-A771-5613-73F9-17DED5DFB43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218795" y="1220147"/>
              <a:ext cx="377462" cy="400594"/>
            </a:xfrm>
            <a:prstGeom prst="rect">
              <a:avLst/>
            </a:prstGeom>
          </xdr:spPr>
        </xdr:pic>
        <xdr:sp macro="" textlink="Pivot!I27">
          <xdr:nvSpPr>
            <xdr:cNvPr id="50" name="TextBox 49">
              <a:extLst>
                <a:ext uri="{FF2B5EF4-FFF2-40B4-BE49-F238E27FC236}">
                  <a16:creationId xmlns:a16="http://schemas.microsoft.com/office/drawing/2014/main" id="{AEB14F2E-337D-619E-CB4F-C4FF212AD241}"/>
                </a:ext>
              </a:extLst>
            </xdr:cNvPr>
            <xdr:cNvSpPr txBox="1"/>
          </xdr:nvSpPr>
          <xdr:spPr>
            <a:xfrm>
              <a:off x="13748657" y="1486549"/>
              <a:ext cx="1552861" cy="390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26F2B2B-0B5E-4287-B99B-9F0E305E28AA}" type="TxLink">
                <a:rPr lang="en-US" sz="2000" b="1" i="0" u="none" strike="noStrike">
                  <a:solidFill>
                    <a:schemeClr val="bg1"/>
                  </a:solidFill>
                  <a:latin typeface="Calibri"/>
                  <a:ea typeface="Calibri"/>
                  <a:cs typeface="Calibri"/>
                </a:rPr>
                <a:pPr/>
                <a:t>28972%</a:t>
              </a:fld>
              <a:endParaRPr lang="en-IN" sz="2000" b="1">
                <a:solidFill>
                  <a:schemeClr val="bg1"/>
                </a:solidFill>
              </a:endParaRPr>
            </a:p>
          </xdr:txBody>
        </xdr:sp>
      </xdr:grpSp>
    </xdr:grpSp>
    <xdr:clientData/>
  </xdr:twoCellAnchor>
  <xdr:twoCellAnchor editAs="oneCell">
    <xdr:from>
      <xdr:col>0</xdr:col>
      <xdr:colOff>173131</xdr:colOff>
      <xdr:row>4</xdr:row>
      <xdr:rowOff>53789</xdr:rowOff>
    </xdr:from>
    <xdr:to>
      <xdr:col>18</xdr:col>
      <xdr:colOff>107576</xdr:colOff>
      <xdr:row>10</xdr:row>
      <xdr:rowOff>96538</xdr:rowOff>
    </xdr:to>
    <mc:AlternateContent xmlns:mc="http://schemas.openxmlformats.org/markup-compatibility/2006" xmlns:a14="http://schemas.microsoft.com/office/drawing/2010/main">
      <mc:Choice Requires="a14">
        <xdr:graphicFrame macro="">
          <xdr:nvGraphicFramePr>
            <xdr:cNvPr id="51" name="Month">
              <a:extLst>
                <a:ext uri="{FF2B5EF4-FFF2-40B4-BE49-F238E27FC236}">
                  <a16:creationId xmlns:a16="http://schemas.microsoft.com/office/drawing/2014/main" id="{1598850C-1128-5739-A550-7DF5BCB275D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131" y="770965"/>
              <a:ext cx="10907245" cy="1118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445513</xdr:colOff>
      <xdr:row>4</xdr:row>
      <xdr:rowOff>9525</xdr:rowOff>
    </xdr:from>
    <xdr:to>
      <xdr:col>25</xdr:col>
      <xdr:colOff>172010</xdr:colOff>
      <xdr:row>10</xdr:row>
      <xdr:rowOff>114300</xdr:rowOff>
    </xdr:to>
    <mc:AlternateContent xmlns:mc="http://schemas.openxmlformats.org/markup-compatibility/2006" xmlns:a14="http://schemas.microsoft.com/office/drawing/2010/main">
      <mc:Choice Requires="a14">
        <xdr:graphicFrame macro="">
          <xdr:nvGraphicFramePr>
            <xdr:cNvPr id="154" name="Region">
              <a:extLst>
                <a:ext uri="{FF2B5EF4-FFF2-40B4-BE49-F238E27FC236}">
                  <a16:creationId xmlns:a16="http://schemas.microsoft.com/office/drawing/2014/main" id="{54295F59-E1A2-463E-B21F-5BA269C680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18313" y="726701"/>
              <a:ext cx="3993697" cy="1180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143435</xdr:colOff>
      <xdr:row>15</xdr:row>
      <xdr:rowOff>30918</xdr:rowOff>
    </xdr:from>
    <xdr:to>
      <xdr:col>26</xdr:col>
      <xdr:colOff>170329</xdr:colOff>
      <xdr:row>45</xdr:row>
      <xdr:rowOff>143436</xdr:rowOff>
    </xdr:to>
    <xdr:grpSp>
      <xdr:nvGrpSpPr>
        <xdr:cNvPr id="158" name="Group 157">
          <a:extLst>
            <a:ext uri="{FF2B5EF4-FFF2-40B4-BE49-F238E27FC236}">
              <a16:creationId xmlns:a16="http://schemas.microsoft.com/office/drawing/2014/main" id="{0B7DE812-72A2-6681-FD4A-7B09514AB536}"/>
            </a:ext>
          </a:extLst>
        </xdr:cNvPr>
        <xdr:cNvGrpSpPr/>
      </xdr:nvGrpSpPr>
      <xdr:grpSpPr>
        <a:xfrm>
          <a:off x="143435" y="2697918"/>
          <a:ext cx="15876494" cy="5446518"/>
          <a:chOff x="36979" y="2828654"/>
          <a:chExt cx="15876494" cy="5541936"/>
        </a:xfrm>
      </xdr:grpSpPr>
      <xdr:graphicFrame macro="">
        <xdr:nvGraphicFramePr>
          <xdr:cNvPr id="10" name="Chart 9">
            <a:extLst>
              <a:ext uri="{FF2B5EF4-FFF2-40B4-BE49-F238E27FC236}">
                <a16:creationId xmlns:a16="http://schemas.microsoft.com/office/drawing/2014/main" id="{1BAC6628-71C1-4D19-A4A0-E5EFCA3EFC2C}"/>
              </a:ext>
            </a:extLst>
          </xdr:cNvPr>
          <xdr:cNvGraphicFramePr>
            <a:graphicFrameLocks/>
          </xdr:cNvGraphicFramePr>
        </xdr:nvGraphicFramePr>
        <xdr:xfrm>
          <a:off x="10705268" y="5610975"/>
          <a:ext cx="5199241" cy="275961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1" name="Chart 10">
            <a:extLst>
              <a:ext uri="{FF2B5EF4-FFF2-40B4-BE49-F238E27FC236}">
                <a16:creationId xmlns:a16="http://schemas.microsoft.com/office/drawing/2014/main" id="{EAAC5FD8-B512-496E-929E-A9B12EDF9B56}"/>
              </a:ext>
            </a:extLst>
          </xdr:cNvPr>
          <xdr:cNvGraphicFramePr>
            <a:graphicFrameLocks/>
          </xdr:cNvGraphicFramePr>
        </xdr:nvGraphicFramePr>
        <xdr:xfrm>
          <a:off x="36979" y="5623561"/>
          <a:ext cx="5549153" cy="2714624"/>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157" name="Group 156">
            <a:extLst>
              <a:ext uri="{FF2B5EF4-FFF2-40B4-BE49-F238E27FC236}">
                <a16:creationId xmlns:a16="http://schemas.microsoft.com/office/drawing/2014/main" id="{C5329AE6-8DD3-AE99-3984-C0543F10471F}"/>
              </a:ext>
            </a:extLst>
          </xdr:cNvPr>
          <xdr:cNvGrpSpPr/>
        </xdr:nvGrpSpPr>
        <xdr:grpSpPr>
          <a:xfrm>
            <a:off x="76200" y="2828654"/>
            <a:ext cx="15837273" cy="5523410"/>
            <a:chOff x="76200" y="2828654"/>
            <a:chExt cx="15837273" cy="5523410"/>
          </a:xfrm>
        </xdr:grpSpPr>
        <xdr:graphicFrame macro="">
          <xdr:nvGraphicFramePr>
            <xdr:cNvPr id="9" name="Chart 8">
              <a:extLst>
                <a:ext uri="{FF2B5EF4-FFF2-40B4-BE49-F238E27FC236}">
                  <a16:creationId xmlns:a16="http://schemas.microsoft.com/office/drawing/2014/main" id="{E327A479-B8EB-424B-A44A-687B5A38C13D}"/>
                </a:ext>
              </a:extLst>
            </xdr:cNvPr>
            <xdr:cNvGraphicFramePr>
              <a:graphicFrameLocks/>
            </xdr:cNvGraphicFramePr>
          </xdr:nvGraphicFramePr>
          <xdr:xfrm>
            <a:off x="5666815" y="5637439"/>
            <a:ext cx="4989211" cy="2714625"/>
          </xdr:xfrm>
          <a:graphic>
            <a:graphicData uri="http://schemas.openxmlformats.org/drawingml/2006/chart">
              <c:chart xmlns:c="http://schemas.openxmlformats.org/drawingml/2006/chart" xmlns:r="http://schemas.openxmlformats.org/officeDocument/2006/relationships" r:id="rId17"/>
            </a:graphicData>
          </a:graphic>
        </xdr:graphicFrame>
        <xdr:grpSp>
          <xdr:nvGrpSpPr>
            <xdr:cNvPr id="156" name="Group 155">
              <a:extLst>
                <a:ext uri="{FF2B5EF4-FFF2-40B4-BE49-F238E27FC236}">
                  <a16:creationId xmlns:a16="http://schemas.microsoft.com/office/drawing/2014/main" id="{EF257EEB-B705-8264-96D6-78FE4DFAD7AB}"/>
                </a:ext>
              </a:extLst>
            </xdr:cNvPr>
            <xdr:cNvGrpSpPr/>
          </xdr:nvGrpSpPr>
          <xdr:grpSpPr>
            <a:xfrm>
              <a:off x="76200" y="2828654"/>
              <a:ext cx="15837273" cy="2736668"/>
              <a:chOff x="76200" y="2828654"/>
              <a:chExt cx="15837273" cy="2736668"/>
            </a:xfrm>
          </xdr:grpSpPr>
          <xdr:graphicFrame macro="">
            <xdr:nvGraphicFramePr>
              <xdr:cNvPr id="6" name="Chart 5">
                <a:extLst>
                  <a:ext uri="{FF2B5EF4-FFF2-40B4-BE49-F238E27FC236}">
                    <a16:creationId xmlns:a16="http://schemas.microsoft.com/office/drawing/2014/main" id="{345F1FF4-355D-4133-A4C2-A00EC8FB8933}"/>
                  </a:ext>
                </a:extLst>
              </xdr:cNvPr>
              <xdr:cNvGraphicFramePr>
                <a:graphicFrameLocks/>
              </xdr:cNvGraphicFramePr>
            </xdr:nvGraphicFramePr>
            <xdr:xfrm>
              <a:off x="5630907" y="2838994"/>
              <a:ext cx="4993389" cy="2714626"/>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7" name="Chart 6">
                <a:extLst>
                  <a:ext uri="{FF2B5EF4-FFF2-40B4-BE49-F238E27FC236}">
                    <a16:creationId xmlns:a16="http://schemas.microsoft.com/office/drawing/2014/main" id="{C2EA4800-24A0-4C2A-BCFF-D5331EC31453}"/>
                  </a:ext>
                </a:extLst>
              </xdr:cNvPr>
              <xdr:cNvGraphicFramePr>
                <a:graphicFrameLocks/>
              </xdr:cNvGraphicFramePr>
            </xdr:nvGraphicFramePr>
            <xdr:xfrm>
              <a:off x="10687050" y="2858316"/>
              <a:ext cx="5226423" cy="2707006"/>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55" name="Chart 154">
                <a:extLst>
                  <a:ext uri="{FF2B5EF4-FFF2-40B4-BE49-F238E27FC236}">
                    <a16:creationId xmlns:a16="http://schemas.microsoft.com/office/drawing/2014/main" id="{85F7D174-94C0-7848-007C-57688381DBF5}"/>
                  </a:ext>
                </a:extLst>
              </xdr:cNvPr>
              <xdr:cNvGraphicFramePr>
                <a:graphicFrameLocks/>
              </xdr:cNvGraphicFramePr>
            </xdr:nvGraphicFramePr>
            <xdr:xfrm>
              <a:off x="76200" y="2828654"/>
              <a:ext cx="5463540" cy="2714626"/>
            </xdr:xfrm>
            <a:graphic>
              <a:graphicData uri="http://schemas.openxmlformats.org/drawingml/2006/chart">
                <c:chart xmlns:c="http://schemas.openxmlformats.org/drawingml/2006/chart" xmlns:r="http://schemas.openxmlformats.org/officeDocument/2006/relationships" r:id="rId20"/>
              </a:graphicData>
            </a:graphic>
          </xdr:graphicFrame>
        </xdr:grpSp>
      </xdr:grpSp>
    </xdr:grpSp>
    <xdr:clientData/>
  </xdr:twoCellAnchor>
</xdr:wsDr>
</file>

<file path=xl/drawings/drawing2.xml><?xml version="1.0" encoding="utf-8"?>
<c:userShapes xmlns:c="http://schemas.openxmlformats.org/drawingml/2006/chart">
  <cdr:relSizeAnchor xmlns:cdr="http://schemas.openxmlformats.org/drawingml/2006/chartDrawing">
    <cdr:from>
      <cdr:x>0.32532</cdr:x>
      <cdr:y>0.40185</cdr:y>
    </cdr:from>
    <cdr:to>
      <cdr:x>0.50024</cdr:x>
      <cdr:y>0.73519</cdr:y>
    </cdr:to>
    <cdr:pic>
      <cdr:nvPicPr>
        <cdr:cNvPr id="2" name="Graphic 13" descr="Register">
          <a:extLst xmlns:a="http://schemas.openxmlformats.org/drawingml/2006/main">
            <a:ext uri="{FF2B5EF4-FFF2-40B4-BE49-F238E27FC236}">
              <a16:creationId xmlns:a16="http://schemas.microsoft.com/office/drawing/2014/main" id="{44A49D8A-C562-4BC2-7E0A-93244C1E75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821996" y="1090877"/>
          <a:ext cx="979715" cy="90487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feeq" refreshedDate="46292.697386921296" createdVersion="8" refreshedVersion="8" minRefreshableVersion="3" recordCount="80" xr:uid="{38252496-F798-4080-8CAD-C986E5E7CCAF}">
  <cacheSource type="worksheet">
    <worksheetSource ref="A1:P81" sheet="DATA "/>
  </cacheSource>
  <cacheFields count="16">
    <cacheField name="Order_ID" numFmtId="0">
      <sharedItems/>
    </cacheField>
    <cacheField name="Order_Date" numFmtId="164">
      <sharedItems containsSemiMixedTypes="0" containsNonDate="0" containsDate="1" containsString="0" minDate="2026-01-01T00:00:00" maxDate="2026-07-01T00:00:00"/>
    </cacheField>
    <cacheField name="Customer" numFmtId="0">
      <sharedItems count="79">
        <s v="C1001"/>
        <s v="C1002"/>
        <s v="C1003"/>
        <s v="C1004"/>
        <s v="C1005"/>
        <s v="C1006"/>
        <s v="C1007"/>
        <s v="C1008"/>
        <s v="C1009"/>
        <s v="C1010"/>
        <s v="C1011"/>
        <s v="C1012"/>
        <s v="C1013"/>
        <s v="C1014"/>
        <s v="C1015"/>
        <s v="  C1016 "/>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2"/>
        <s v="C1073"/>
        <s v="C1074"/>
        <s v="C1075"/>
        <s v="C1076"/>
        <s v="C1077"/>
        <s v="C1078"/>
        <s v="C1079"/>
        <s v="C1080"/>
      </sharedItems>
    </cacheField>
    <cacheField name="Product" numFmtId="0">
      <sharedItems count="6">
        <s v="Monitor"/>
        <s v="Headset"/>
        <s v="Keyboard"/>
        <s v="Mouse"/>
        <s v="Laptop"/>
        <s v="Mouse "/>
      </sharedItems>
    </cacheField>
    <cacheField name="Category" numFmtId="0">
      <sharedItems count="2">
        <s v="Electronics"/>
        <s v="Accessories"/>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5">
        <s v="Cash"/>
        <s v="UPI"/>
        <s v="Net Banking"/>
        <s v="Card"/>
        <s v="Card "/>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
        <s v="Feb"/>
        <s v="Mar"/>
        <s v="Apr"/>
        <s v="May"/>
        <s v="Jun"/>
      </sharedItems>
    </cacheField>
    <cacheField name="Months_N0" numFmtId="0">
      <sharedItems containsSemiMixedTypes="0" containsString="0" containsNumber="1" containsInteger="1" minValue="1" maxValue="6"/>
    </cacheField>
    <cacheField name="Profit_Margin_%" numFmtId="9">
      <sharedItems containsSemiMixedTypes="0" containsString="0" containsNumber="1" minValue="2.6516666226618439" maxValue="5.3341861208826353"/>
    </cacheField>
  </cacheFields>
  <extLst>
    <ext xmlns:x14="http://schemas.microsoft.com/office/spreadsheetml/2009/9/main" uri="{725AE2AE-9491-48be-B2B4-4EB974FC3084}">
      <x14:pivotCacheDefinition pivotCacheId="688664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x v="0"/>
    <x v="0"/>
    <x v="0"/>
    <x v="0"/>
    <n v="3"/>
    <n v="13962"/>
    <n v="0"/>
    <x v="0"/>
    <n v="41886"/>
    <n v="28238.14"/>
    <n v="13647.86"/>
    <x v="0"/>
    <n v="1"/>
    <n v="3.0690525840681246"/>
  </r>
  <r>
    <s v="ORD10002"/>
    <d v="2026-01-03T06:41:01"/>
    <x v="1"/>
    <x v="1"/>
    <x v="1"/>
    <x v="0"/>
    <n v="1"/>
    <n v="3480"/>
    <n v="5"/>
    <x v="1"/>
    <n v="3306"/>
    <n v="2339.9699999999998"/>
    <n v="966.03"/>
    <x v="0"/>
    <n v="1"/>
    <n v="3.4222539672680972"/>
  </r>
  <r>
    <s v="ORD10003"/>
    <d v="2026-01-05T13:22:02"/>
    <x v="2"/>
    <x v="2"/>
    <x v="1"/>
    <x v="0"/>
    <n v="2"/>
    <n v="2160"/>
    <n v="10"/>
    <x v="0"/>
    <n v="3888"/>
    <n v="2471.5700000000002"/>
    <n v="1416.43"/>
    <x v="0"/>
    <n v="1"/>
    <n v="2.744929152870244"/>
  </r>
  <r>
    <s v="ORD10004"/>
    <d v="2026-01-07T20:03:02"/>
    <x v="3"/>
    <x v="1"/>
    <x v="1"/>
    <x v="1"/>
    <n v="2"/>
    <n v="3379"/>
    <n v="5"/>
    <x v="0"/>
    <n v="6420.1"/>
    <n v="4013.01"/>
    <n v="2407.09"/>
    <x v="0"/>
    <n v="1"/>
    <n v="2.6671624243381014"/>
  </r>
  <r>
    <s v="ORD10005"/>
    <d v="2026-01-10T02:44:03"/>
    <x v="4"/>
    <x v="1"/>
    <x v="1"/>
    <x v="0"/>
    <n v="4"/>
    <n v="3197"/>
    <n v="10"/>
    <x v="1"/>
    <n v="11509.2"/>
    <n v="9351.57"/>
    <n v="2157.63"/>
    <x v="0"/>
    <n v="1"/>
    <n v="5.3341861208826353"/>
  </r>
  <r>
    <s v="ORD10006"/>
    <d v="2026-01-12T09:25:04"/>
    <x v="5"/>
    <x v="3"/>
    <x v="1"/>
    <x v="0"/>
    <n v="5"/>
    <n v="1276"/>
    <n v="5"/>
    <x v="2"/>
    <n v="6061"/>
    <n v="4771.2"/>
    <n v="1289.8"/>
    <x v="0"/>
    <n v="1"/>
    <n v="4.6991781671576991"/>
  </r>
  <r>
    <s v="ORD10007"/>
    <d v="2026-01-14T16:06:05"/>
    <x v="6"/>
    <x v="2"/>
    <x v="1"/>
    <x v="0"/>
    <n v="1"/>
    <n v="2503"/>
    <n v="0"/>
    <x v="1"/>
    <n v="2503"/>
    <n v="1900.26"/>
    <n v="602.74"/>
    <x v="0"/>
    <n v="1"/>
    <n v="4.1527026578624282"/>
  </r>
  <r>
    <s v="ORD10008"/>
    <d v="2026-01-16T22:47:05"/>
    <x v="7"/>
    <x v="2"/>
    <x v="1"/>
    <x v="2"/>
    <n v="1"/>
    <n v="2391"/>
    <n v="15"/>
    <x v="2"/>
    <n v="2032.35"/>
    <n v="1426.28"/>
    <n v="606.07000000000005"/>
    <x v="0"/>
    <n v="1"/>
    <n v="3.3533255234543859"/>
  </r>
  <r>
    <s v="ORD10009"/>
    <d v="2026-01-19T05:28:06"/>
    <x v="8"/>
    <x v="2"/>
    <x v="1"/>
    <x v="0"/>
    <n v="3"/>
    <n v="2134"/>
    <n v="0"/>
    <x v="1"/>
    <n v="6402"/>
    <n v="4191.13"/>
    <n v="2210.87"/>
    <x v="0"/>
    <n v="1"/>
    <n v="2.8956926458814856"/>
  </r>
  <r>
    <s v="ORD10010"/>
    <d v="2026-01-21T12:09:07"/>
    <x v="9"/>
    <x v="1"/>
    <x v="1"/>
    <x v="3"/>
    <n v="2"/>
    <n v="2994"/>
    <n v="15"/>
    <x v="0"/>
    <n v="5089.8"/>
    <n v="3314.92"/>
    <n v="1774.88"/>
    <x v="0"/>
    <n v="1"/>
    <n v="2.8676868295321372"/>
  </r>
  <r>
    <s v="ORD10011"/>
    <d v="2026-01-23T18:50:08"/>
    <x v="10"/>
    <x v="0"/>
    <x v="0"/>
    <x v="0"/>
    <n v="5"/>
    <n v="14200"/>
    <n v="5"/>
    <x v="0"/>
    <n v="67450"/>
    <n v="45194.78"/>
    <n v="22255.22"/>
    <x v="0"/>
    <n v="1"/>
    <n v="3.030749639859772"/>
  </r>
  <r>
    <s v="ORD10012"/>
    <d v="2026-01-26T01:31:08"/>
    <x v="11"/>
    <x v="2"/>
    <x v="1"/>
    <x v="3"/>
    <n v="4"/>
    <n v="2639"/>
    <n v="10"/>
    <x v="3"/>
    <n v="9500.4"/>
    <n v="6933.82"/>
    <n v="2566.58"/>
    <x v="0"/>
    <n v="1"/>
    <n v="3.7015795338543898"/>
  </r>
  <r>
    <s v="ORD10013"/>
    <d v="2026-01-28T08:12:09"/>
    <x v="12"/>
    <x v="1"/>
    <x v="1"/>
    <x v="3"/>
    <n v="2"/>
    <n v="2832"/>
    <n v="0"/>
    <x v="2"/>
    <n v="5664"/>
    <n v="4321.17"/>
    <n v="1342.83"/>
    <x v="0"/>
    <n v="1"/>
    <n v="4.2179575970152587"/>
  </r>
  <r>
    <s v="ORD10014"/>
    <d v="2026-01-30T14:53:10"/>
    <x v="13"/>
    <x v="3"/>
    <x v="1"/>
    <x v="3"/>
    <n v="4"/>
    <n v="1687"/>
    <n v="15"/>
    <x v="3"/>
    <n v="5735.8"/>
    <n v="4313.55"/>
    <n v="1422.25"/>
    <x v="0"/>
    <n v="1"/>
    <n v="4.0329056073123573"/>
  </r>
  <r>
    <s v="ORD10015"/>
    <d v="2026-02-01T21:34:11"/>
    <x v="14"/>
    <x v="0"/>
    <x v="0"/>
    <x v="2"/>
    <n v="3"/>
    <n v="14259"/>
    <n v="0"/>
    <x v="3"/>
    <n v="42777"/>
    <n v="28916.69"/>
    <n v="13860.31"/>
    <x v="1"/>
    <n v="2"/>
    <n v="3.0862946066862862"/>
  </r>
  <r>
    <s v="ORD10016"/>
    <d v="2026-02-04T04:15:11"/>
    <x v="15"/>
    <x v="3"/>
    <x v="1"/>
    <x v="2"/>
    <n v="3"/>
    <n v="1469"/>
    <n v="15"/>
    <x v="1"/>
    <n v="3745.95"/>
    <n v="3037.86"/>
    <n v="708.09"/>
    <x v="1"/>
    <n v="2"/>
    <n v="5.2902173452527217"/>
  </r>
  <r>
    <s v="ORD10017"/>
    <d v="2026-02-06T10:56:12"/>
    <x v="16"/>
    <x v="0"/>
    <x v="0"/>
    <x v="2"/>
    <n v="1"/>
    <n v="14174"/>
    <n v="0"/>
    <x v="3"/>
    <n v="14174"/>
    <n v="10879.67"/>
    <n v="3294.33"/>
    <x v="1"/>
    <n v="2"/>
    <n v="4.3025440681413221"/>
  </r>
  <r>
    <s v="ORD10018"/>
    <d v="2026-02-08T17:37:13"/>
    <x v="17"/>
    <x v="1"/>
    <x v="1"/>
    <x v="0"/>
    <n v="5"/>
    <n v="2821"/>
    <n v="15"/>
    <x v="1"/>
    <n v="11989.25"/>
    <n v="8762.59"/>
    <n v="3226.66"/>
    <x v="1"/>
    <n v="2"/>
    <n v="3.7156843299263018"/>
  </r>
  <r>
    <s v="ORD10019"/>
    <d v="2026-02-11T00:18:14"/>
    <x v="18"/>
    <x v="4"/>
    <x v="0"/>
    <x v="3"/>
    <n v="4"/>
    <n v="55469"/>
    <n v="15"/>
    <x v="1"/>
    <n v="188594.6"/>
    <n v="140002.1"/>
    <n v="48592.5"/>
    <x v="1"/>
    <n v="2"/>
    <n v="3.8811462674281012"/>
  </r>
  <r>
    <s v="ORD10020"/>
    <d v="2026-02-13T06:59:14"/>
    <x v="19"/>
    <x v="0"/>
    <x v="0"/>
    <x v="2"/>
    <n v="2"/>
    <n v="13837"/>
    <n v="5"/>
    <x v="3"/>
    <n v="26290.3"/>
    <n v="18506.27"/>
    <n v="7784.03"/>
    <x v="1"/>
    <n v="2"/>
    <n v="3.3774664280584736"/>
  </r>
  <r>
    <s v="ORD10021"/>
    <d v="2026-02-15T13:40:15"/>
    <x v="20"/>
    <x v="3"/>
    <x v="1"/>
    <x v="2"/>
    <n v="3"/>
    <n v="1229"/>
    <n v="15"/>
    <x v="2"/>
    <n v="3133.95"/>
    <n v="2098.3200000000002"/>
    <n v="1035.6300000000001"/>
    <x v="1"/>
    <n v="2"/>
    <n v="3.0261290229135884"/>
  </r>
  <r>
    <s v="ORD10022"/>
    <d v="2026-02-17T20:21:16"/>
    <x v="21"/>
    <x v="1"/>
    <x v="1"/>
    <x v="0"/>
    <n v="1"/>
    <n v="3164"/>
    <n v="5"/>
    <x v="2"/>
    <n v="3005.8"/>
    <n v="2077.59"/>
    <n v="928.21"/>
    <x v="1"/>
    <n v="2"/>
    <n v="3.2382758212042533"/>
  </r>
  <r>
    <s v="ORD10023"/>
    <d v="2026-02-20T03:02:17"/>
    <x v="22"/>
    <x v="5"/>
    <x v="0"/>
    <x v="2"/>
    <n v="1"/>
    <n v="14362"/>
    <n v="15"/>
    <x v="2"/>
    <n v="12207.7"/>
    <n v="9419.09"/>
    <n v="2788.61"/>
    <x v="1"/>
    <n v="2"/>
    <n v="4.3777007182789989"/>
  </r>
  <r>
    <s v="ORD10024"/>
    <d v="2026-02-22T09:43:17"/>
    <x v="23"/>
    <x v="4"/>
    <x v="0"/>
    <x v="0"/>
    <n v="4"/>
    <n v="55237"/>
    <n v="10"/>
    <x v="2"/>
    <n v="198853.2"/>
    <n v="123861.42"/>
    <n v="74991.78"/>
    <x v="1"/>
    <n v="2"/>
    <n v="2.6516666226618439"/>
  </r>
  <r>
    <s v="ORD10025"/>
    <d v="2026-02-24T16:24:18"/>
    <x v="24"/>
    <x v="4"/>
    <x v="0"/>
    <x v="1"/>
    <n v="3"/>
    <n v="55082"/>
    <n v="10"/>
    <x v="2"/>
    <n v="148721.4"/>
    <n v="95659.77"/>
    <n v="53061.63"/>
    <x v="1"/>
    <n v="2"/>
    <n v="2.8028049647174429"/>
  </r>
  <r>
    <s v="ORD10026"/>
    <d v="2026-02-26T23:05:19"/>
    <x v="25"/>
    <x v="2"/>
    <x v="1"/>
    <x v="2"/>
    <n v="5"/>
    <n v="2026"/>
    <n v="10"/>
    <x v="3"/>
    <n v="9117"/>
    <n v="5736.42"/>
    <n v="3380.58"/>
    <x v="1"/>
    <n v="2"/>
    <n v="2.6968745008253023"/>
  </r>
  <r>
    <s v="ORD10027"/>
    <d v="2026-03-01T05:46:20"/>
    <x v="26"/>
    <x v="2"/>
    <x v="1"/>
    <x v="1"/>
    <n v="3"/>
    <n v="2225"/>
    <n v="15"/>
    <x v="3"/>
    <n v="5673.75"/>
    <n v="3563.94"/>
    <n v="2109.81"/>
    <x v="2"/>
    <n v="3"/>
    <n v="2.6892232001933825"/>
  </r>
  <r>
    <s v="ORD10028"/>
    <d v="2026-03-03T12:27:21"/>
    <x v="27"/>
    <x v="3"/>
    <x v="1"/>
    <x v="0"/>
    <n v="4"/>
    <n v="1276"/>
    <n v="5"/>
    <x v="0"/>
    <n v="4848.8"/>
    <n v="3835.85"/>
    <n v="1012.95"/>
    <x v="2"/>
    <n v="3"/>
    <n v="4.7868108001382099"/>
  </r>
  <r>
    <s v="ORD10029"/>
    <d v="2026-03-05T19:08:21"/>
    <x v="28"/>
    <x v="0"/>
    <x v="0"/>
    <x v="3"/>
    <n v="4"/>
    <n v="14408"/>
    <n v="5"/>
    <x v="2"/>
    <n v="54750.400000000001"/>
    <n v="41650.36"/>
    <n v="13100.04"/>
    <x v="2"/>
    <n v="3"/>
    <n v="4.1794070857798902"/>
  </r>
  <r>
    <s v="ORD10030"/>
    <d v="2026-03-08T01:49:22"/>
    <x v="29"/>
    <x v="0"/>
    <x v="0"/>
    <x v="2"/>
    <n v="3"/>
    <n v="14083"/>
    <n v="15"/>
    <x v="3"/>
    <n v="35911.65"/>
    <n v="25670.9"/>
    <n v="10240.75"/>
    <x v="2"/>
    <n v="3"/>
    <n v="3.5067402289871348"/>
  </r>
  <r>
    <s v="ORD10031"/>
    <d v="2026-03-10T08:30:23"/>
    <x v="30"/>
    <x v="2"/>
    <x v="1"/>
    <x v="0"/>
    <n v="4"/>
    <n v="2480"/>
    <n v="10"/>
    <x v="0"/>
    <n v="8928"/>
    <n v="5710.05"/>
    <n v="3217.95"/>
    <x v="2"/>
    <n v="3"/>
    <n v="2.7744371416585096"/>
  </r>
  <r>
    <s v="ORD10032"/>
    <d v="2026-03-12T15:11:24"/>
    <x v="31"/>
    <x v="0"/>
    <x v="0"/>
    <x v="3"/>
    <n v="3"/>
    <n v="14252"/>
    <n v="10"/>
    <x v="2"/>
    <n v="38480.400000000001"/>
    <n v="27641.360000000001"/>
    <n v="10839.04"/>
    <x v="2"/>
    <n v="3"/>
    <n v="3.5501668044402455"/>
  </r>
  <r>
    <s v="ORD10033"/>
    <d v="2026-03-14T21:52:24"/>
    <x v="32"/>
    <x v="0"/>
    <x v="0"/>
    <x v="3"/>
    <n v="2"/>
    <n v="14458"/>
    <n v="5"/>
    <x v="1"/>
    <n v="27470.2"/>
    <n v="19632.8"/>
    <n v="7837.4"/>
    <x v="2"/>
    <n v="3"/>
    <n v="3.5050144180468017"/>
  </r>
  <r>
    <s v="ORD10034"/>
    <d v="2026-03-17T04:33:25"/>
    <x v="33"/>
    <x v="4"/>
    <x v="0"/>
    <x v="1"/>
    <n v="3"/>
    <n v="55315"/>
    <n v="10"/>
    <x v="0"/>
    <n v="149350.5"/>
    <n v="97770.87"/>
    <n v="51579.63"/>
    <x v="2"/>
    <n v="3"/>
    <n v="2.8955325968798151"/>
  </r>
  <r>
    <s v="ORD10035"/>
    <d v="2026-03-19T11:14:26"/>
    <x v="34"/>
    <x v="2"/>
    <x v="1"/>
    <x v="0"/>
    <n v="3"/>
    <n v="2546"/>
    <n v="0"/>
    <x v="3"/>
    <n v="7638"/>
    <n v="5398.31"/>
    <n v="2239.69"/>
    <x v="2"/>
    <n v="3"/>
    <n v="3.4102933888172022"/>
  </r>
  <r>
    <s v="ORD10036"/>
    <d v="2026-03-21T17:55:27"/>
    <x v="35"/>
    <x v="1"/>
    <x v="1"/>
    <x v="3"/>
    <n v="4"/>
    <n v="2991"/>
    <n v="5"/>
    <x v="1"/>
    <n v="11365.8"/>
    <n v="7952.66"/>
    <n v="3413.14"/>
    <x v="2"/>
    <n v="3"/>
    <n v="3.3300128327581056"/>
  </r>
  <r>
    <s v="ORD10037"/>
    <d v="2026-03-24T00:36:27"/>
    <x v="36"/>
    <x v="2"/>
    <x v="1"/>
    <x v="2"/>
    <n v="4"/>
    <n v="2048"/>
    <n v="10"/>
    <x v="1"/>
    <n v="7372.8"/>
    <n v="5479.24"/>
    <n v="1893.56"/>
    <x v="2"/>
    <n v="3"/>
    <n v="3.8936183696318047"/>
  </r>
  <r>
    <s v="ORD10038"/>
    <d v="2026-03-26T07:17:28"/>
    <x v="37"/>
    <x v="1"/>
    <x v="1"/>
    <x v="2"/>
    <n v="1"/>
    <n v="3311"/>
    <n v="5"/>
    <x v="1"/>
    <n v="3145.45"/>
    <n v="2349.71"/>
    <n v="795.74"/>
    <x v="2"/>
    <n v="3"/>
    <n v="3.9528614874205141"/>
  </r>
  <r>
    <s v="ORD10039"/>
    <d v="2026-03-28T13:58:29"/>
    <x v="38"/>
    <x v="4"/>
    <x v="0"/>
    <x v="1"/>
    <n v="1"/>
    <n v="54816"/>
    <n v="0"/>
    <x v="0"/>
    <n v="54816"/>
    <n v="34482.6"/>
    <n v="20333.400000000001"/>
    <x v="2"/>
    <n v="3"/>
    <n v="2.6958600135737258"/>
  </r>
  <r>
    <s v="ORD10040"/>
    <d v="2026-03-30T20:39:30"/>
    <x v="39"/>
    <x v="3"/>
    <x v="1"/>
    <x v="3"/>
    <n v="2"/>
    <n v="1171"/>
    <n v="5"/>
    <x v="3"/>
    <n v="2224.9"/>
    <n v="1546.13"/>
    <n v="678.77"/>
    <x v="2"/>
    <n v="3"/>
    <n v="3.2778408002710786"/>
  </r>
  <r>
    <s v="ORD10041"/>
    <d v="2026-04-02T03:20:30"/>
    <x v="40"/>
    <x v="0"/>
    <x v="0"/>
    <x v="0"/>
    <n v="1"/>
    <n v="14019"/>
    <n v="5"/>
    <x v="1"/>
    <n v="13318.05"/>
    <n v="9924.24"/>
    <n v="3393.81"/>
    <x v="3"/>
    <n v="4"/>
    <n v="3.924217914379414"/>
  </r>
  <r>
    <s v="ORD10042"/>
    <d v="2026-04-04T10:01:31"/>
    <x v="41"/>
    <x v="4"/>
    <x v="0"/>
    <x v="2"/>
    <n v="3"/>
    <n v="54957"/>
    <n v="5"/>
    <x v="2"/>
    <n v="156627.45000000001"/>
    <n v="112870.01"/>
    <n v="43757.440000000002"/>
    <x v="3"/>
    <n v="4"/>
    <n v="3.5794472894209535"/>
  </r>
  <r>
    <s v="ORD10043"/>
    <d v="2026-04-06T16:42:32"/>
    <x v="42"/>
    <x v="0"/>
    <x v="0"/>
    <x v="3"/>
    <n v="4"/>
    <n v="14276"/>
    <n v="5"/>
    <x v="1"/>
    <n v="54248.800000000003"/>
    <n v="42926.97"/>
    <n v="11321.83"/>
    <x v="3"/>
    <n v="4"/>
    <n v="4.7915222185812718"/>
  </r>
  <r>
    <s v="ORD10044"/>
    <d v="2026-04-08T23:23:33"/>
    <x v="43"/>
    <x v="3"/>
    <x v="1"/>
    <x v="3"/>
    <n v="1"/>
    <n v="1045"/>
    <n v="0"/>
    <x v="1"/>
    <n v="1045"/>
    <n v="785.57"/>
    <n v="259.43"/>
    <x v="3"/>
    <n v="4"/>
    <n v="4.0280615194850249"/>
  </r>
  <r>
    <s v="ORD10045"/>
    <d v="2026-04-11T06:04:33"/>
    <x v="44"/>
    <x v="3"/>
    <x v="1"/>
    <x v="4"/>
    <n v="1"/>
    <n v="1372"/>
    <n v="15"/>
    <x v="0"/>
    <n v="1166.2"/>
    <n v="761.05"/>
    <n v="405.15"/>
    <x v="3"/>
    <n v="4"/>
    <n v="2.8784400839195361"/>
  </r>
  <r>
    <s v="ORD10046"/>
    <d v="2026-04-13T12:45:34"/>
    <x v="45"/>
    <x v="4"/>
    <x v="0"/>
    <x v="2"/>
    <n v="2"/>
    <n v="55317"/>
    <n v="5"/>
    <x v="0"/>
    <n v="105102.3"/>
    <n v="66646.81"/>
    <n v="38455.49"/>
    <x v="3"/>
    <n v="4"/>
    <n v="2.7330896056713883"/>
  </r>
  <r>
    <s v="ORD10047"/>
    <d v="2026-04-15T19:26:35"/>
    <x v="46"/>
    <x v="3"/>
    <x v="1"/>
    <x v="2"/>
    <n v="2"/>
    <n v="1098"/>
    <n v="5"/>
    <x v="3"/>
    <n v="2086.1999999999998"/>
    <n v="1561.49"/>
    <n v="524.71"/>
    <x v="3"/>
    <n v="4"/>
    <n v="3.9759105029444828"/>
  </r>
  <r>
    <s v="ORD10048"/>
    <d v="2026-04-18T02:07:36"/>
    <x v="47"/>
    <x v="1"/>
    <x v="1"/>
    <x v="0"/>
    <n v="3"/>
    <n v="2836"/>
    <n v="10"/>
    <x v="2"/>
    <n v="7657.2"/>
    <n v="4788.0600000000004"/>
    <n v="2869.14"/>
    <x v="3"/>
    <n v="4"/>
    <n v="2.6688136514774463"/>
  </r>
  <r>
    <s v="ORD10049"/>
    <d v="2026-04-20T08:48:36"/>
    <x v="48"/>
    <x v="3"/>
    <x v="1"/>
    <x v="2"/>
    <n v="4"/>
    <n v="1279"/>
    <n v="5"/>
    <x v="0"/>
    <n v="4860.2"/>
    <n v="3582.72"/>
    <n v="1277.48"/>
    <x v="3"/>
    <n v="4"/>
    <n v="3.8045214015092212"/>
  </r>
  <r>
    <s v="ORD10050"/>
    <d v="2026-04-22T15:29:37"/>
    <x v="49"/>
    <x v="0"/>
    <x v="0"/>
    <x v="0"/>
    <n v="2"/>
    <n v="14148"/>
    <n v="10"/>
    <x v="1"/>
    <n v="25466.400000000001"/>
    <n v="20578.02"/>
    <n v="4888.38"/>
    <x v="3"/>
    <n v="4"/>
    <n v="5.2095786334122964"/>
  </r>
  <r>
    <s v="ORD10051"/>
    <d v="2026-04-24T22:10:38"/>
    <x v="50"/>
    <x v="0"/>
    <x v="0"/>
    <x v="2"/>
    <n v="1"/>
    <n v="14296"/>
    <n v="15"/>
    <x v="3"/>
    <n v="12151.6"/>
    <n v="8932.58"/>
    <n v="3219.02"/>
    <x v="3"/>
    <n v="4"/>
    <n v="3.7749377139626348"/>
  </r>
  <r>
    <s v="ORD10052"/>
    <d v="2026-04-27T04:51:39"/>
    <x v="51"/>
    <x v="0"/>
    <x v="0"/>
    <x v="1"/>
    <n v="4"/>
    <n v="14101"/>
    <n v="0"/>
    <x v="1"/>
    <n v="56404"/>
    <n v="39349.35"/>
    <n v="17054.650000000001"/>
    <x v="3"/>
    <n v="4"/>
    <n v="3.3072505152553702"/>
  </r>
  <r>
    <s v="ORD10053"/>
    <d v="2026-04-29T11:32:39"/>
    <x v="52"/>
    <x v="0"/>
    <x v="0"/>
    <x v="2"/>
    <n v="4"/>
    <n v="13980"/>
    <n v="0"/>
    <x v="1"/>
    <n v="55920"/>
    <n v="41864.94"/>
    <n v="14055.06"/>
    <x v="3"/>
    <n v="4"/>
    <n v="3.9786382982356532"/>
  </r>
  <r>
    <s v="ORD10054"/>
    <d v="2026-05-01T18:13:40"/>
    <x v="53"/>
    <x v="1"/>
    <x v="1"/>
    <x v="0"/>
    <n v="1"/>
    <n v="3406"/>
    <n v="15"/>
    <x v="0"/>
    <n v="2895.1"/>
    <n v="2060.3000000000002"/>
    <n v="834.8"/>
    <x v="4"/>
    <n v="5"/>
    <n v="3.4680162913272641"/>
  </r>
  <r>
    <s v="ORD10055"/>
    <d v="2026-05-04T00:54:41"/>
    <x v="54"/>
    <x v="2"/>
    <x v="1"/>
    <x v="0"/>
    <n v="2"/>
    <n v="2098"/>
    <n v="0"/>
    <x v="3"/>
    <n v="4196"/>
    <n v="3059.4"/>
    <n v="1136.5999999999999"/>
    <x v="4"/>
    <n v="5"/>
    <n v="3.6917121238782338"/>
  </r>
  <r>
    <s v="ORD10056"/>
    <d v="2026-05-06T07:35:42"/>
    <x v="55"/>
    <x v="4"/>
    <x v="0"/>
    <x v="1"/>
    <n v="1"/>
    <n v="55499"/>
    <n v="15"/>
    <x v="4"/>
    <n v="47174.15"/>
    <n v="38130.53"/>
    <n v="9043.6200000000008"/>
    <x v="4"/>
    <n v="5"/>
    <n v="5.2162906004453964"/>
  </r>
  <r>
    <s v="ORD10057"/>
    <d v="2026-05-08T14:16:43"/>
    <x v="56"/>
    <x v="0"/>
    <x v="0"/>
    <x v="2"/>
    <n v="4"/>
    <n v="13915"/>
    <n v="15"/>
    <x v="2"/>
    <n v="47311"/>
    <n v="32986.199999999997"/>
    <n v="14324.8"/>
    <x v="4"/>
    <n v="5"/>
    <n v="3.3027337205406009"/>
  </r>
  <r>
    <s v="ORD10058"/>
    <d v="2026-05-10T20:57:43"/>
    <x v="57"/>
    <x v="3"/>
    <x v="1"/>
    <x v="2"/>
    <n v="5"/>
    <n v="1190"/>
    <n v="15"/>
    <x v="0"/>
    <n v="5057.5"/>
    <n v="4107.8900000000003"/>
    <n v="949.61"/>
    <x v="4"/>
    <n v="5"/>
    <n v="5.3258706205705497"/>
  </r>
  <r>
    <s v="ORD10059"/>
    <d v="2026-05-13T03:38:44"/>
    <x v="58"/>
    <x v="0"/>
    <x v="0"/>
    <x v="1"/>
    <n v="5"/>
    <n v="14052"/>
    <n v="0"/>
    <x v="0"/>
    <n v="70260"/>
    <n v="56283.19"/>
    <n v="13976.81"/>
    <x v="4"/>
    <n v="5"/>
    <n v="5.0268981262534158"/>
  </r>
  <r>
    <s v="ORD10060"/>
    <d v="2026-05-15T10:19:45"/>
    <x v="59"/>
    <x v="3"/>
    <x v="1"/>
    <x v="2"/>
    <n v="3"/>
    <n v="1160"/>
    <n v="10"/>
    <x v="3"/>
    <n v="3132"/>
    <n v="2064.48"/>
    <n v="1067.52"/>
    <x v="4"/>
    <n v="5"/>
    <n v="2.9339028776978417"/>
  </r>
  <r>
    <s v="ORD10061"/>
    <d v="2026-05-17T17:00:46"/>
    <x v="60"/>
    <x v="3"/>
    <x v="1"/>
    <x v="2"/>
    <n v="1"/>
    <n v="1255"/>
    <n v="15"/>
    <x v="2"/>
    <n v="1066.75"/>
    <n v="676.18"/>
    <n v="390.57"/>
    <x v="4"/>
    <n v="5"/>
    <n v="2.7312645620503369"/>
  </r>
  <r>
    <s v="ORD10062"/>
    <d v="2026-05-19T23:41:46"/>
    <x v="61"/>
    <x v="0"/>
    <x v="0"/>
    <x v="0"/>
    <n v="1"/>
    <n v="14122"/>
    <n v="5"/>
    <x v="2"/>
    <n v="13415.9"/>
    <n v="8588.26"/>
    <n v="4827.6400000000003"/>
    <x v="4"/>
    <n v="5"/>
    <n v="2.7789768914003528"/>
  </r>
  <r>
    <s v="ORD10063"/>
    <d v="2026-05-22T06:22:47"/>
    <x v="62"/>
    <x v="1"/>
    <x v="1"/>
    <x v="2"/>
    <n v="3"/>
    <n v="2927"/>
    <n v="0"/>
    <x v="2"/>
    <n v="8781"/>
    <n v="5476.22"/>
    <n v="3304.78"/>
    <x v="4"/>
    <n v="5"/>
    <n v="2.6570603792082981"/>
  </r>
  <r>
    <s v="ORD10064"/>
    <d v="2026-05-24T13:03:48"/>
    <x v="63"/>
    <x v="3"/>
    <x v="1"/>
    <x v="2"/>
    <n v="3"/>
    <n v="1017"/>
    <n v="15"/>
    <x v="1"/>
    <n v="2593.35"/>
    <n v="1656.86"/>
    <n v="936.49"/>
    <x v="4"/>
    <n v="5"/>
    <n v="2.7692233766511118"/>
  </r>
  <r>
    <s v="ORD10065"/>
    <d v="2026-05-26T19:44:49"/>
    <x v="64"/>
    <x v="3"/>
    <x v="1"/>
    <x v="1"/>
    <n v="3"/>
    <n v="1565"/>
    <n v="15"/>
    <x v="2"/>
    <n v="3990.75"/>
    <n v="3019.41"/>
    <n v="971.34"/>
    <x v="4"/>
    <n v="5"/>
    <n v="4.1084995984928039"/>
  </r>
  <r>
    <s v="ORD10066"/>
    <d v="2026-05-29T02:25:49"/>
    <x v="65"/>
    <x v="0"/>
    <x v="0"/>
    <x v="1"/>
    <n v="4"/>
    <n v="14369"/>
    <n v="5"/>
    <x v="1"/>
    <n v="54602.2"/>
    <n v="34630.78"/>
    <n v="19971.419999999998"/>
    <x v="4"/>
    <n v="5"/>
    <n v="2.7340169101646254"/>
  </r>
  <r>
    <s v="ORD10067"/>
    <d v="2026-05-31T09:06:50"/>
    <x v="66"/>
    <x v="3"/>
    <x v="1"/>
    <x v="3"/>
    <n v="1"/>
    <n v="3311"/>
    <n v="10"/>
    <x v="3"/>
    <n v="1189.8"/>
    <n v="813.58"/>
    <n v="376.22"/>
    <x v="4"/>
    <n v="5"/>
    <n v="3.162511296581787"/>
  </r>
  <r>
    <s v="ORD10068"/>
    <d v="2026-06-02T15:47:51"/>
    <x v="67"/>
    <x v="3"/>
    <x v="1"/>
    <x v="0"/>
    <n v="4"/>
    <n v="1685"/>
    <n v="10"/>
    <x v="1"/>
    <n v="6066"/>
    <n v="4785.92"/>
    <n v="1280.08"/>
    <x v="5"/>
    <n v="6"/>
    <n v="4.7387663271045559"/>
  </r>
  <r>
    <s v="ORD10069"/>
    <d v="2026-06-04T22:28:52"/>
    <x v="68"/>
    <x v="0"/>
    <x v="0"/>
    <x v="2"/>
    <n v="3"/>
    <n v="14425"/>
    <n v="10"/>
    <x v="3"/>
    <n v="38947.5"/>
    <n v="24328.73"/>
    <n v="14618.77"/>
    <x v="5"/>
    <n v="6"/>
    <n v="2.6642118317751766"/>
  </r>
  <r>
    <s v="ORD10070"/>
    <d v="2026-06-07T05:09:52"/>
    <x v="69"/>
    <x v="0"/>
    <x v="0"/>
    <x v="2"/>
    <n v="1"/>
    <n v="14087"/>
    <n v="15"/>
    <x v="2"/>
    <n v="11973.95"/>
    <n v="9374.33"/>
    <n v="2599.62"/>
    <x v="5"/>
    <n v="6"/>
    <n v="4.6060385748686352"/>
  </r>
  <r>
    <s v="ORD10071"/>
    <d v="2026-06-09T11:50:53"/>
    <x v="10"/>
    <x v="4"/>
    <x v="0"/>
    <x v="3"/>
    <n v="4"/>
    <n v="55462"/>
    <n v="15"/>
    <x v="2"/>
    <n v="188570.8"/>
    <n v="127543.81"/>
    <n v="61026.99"/>
    <x v="5"/>
    <n v="6"/>
    <n v="3.0899574106473215"/>
  </r>
  <r>
    <s v="ORD10072"/>
    <d v="2026-06-11T18:31:54"/>
    <x v="70"/>
    <x v="1"/>
    <x v="1"/>
    <x v="2"/>
    <n v="4"/>
    <n v="3438"/>
    <n v="15"/>
    <x v="3"/>
    <n v="11689.2"/>
    <n v="7523.55"/>
    <n v="4165.6499999999996"/>
    <x v="5"/>
    <n v="6"/>
    <n v="2.8060926866155347"/>
  </r>
  <r>
    <s v="ORD10073"/>
    <d v="2026-06-14T01:12:55"/>
    <x v="71"/>
    <x v="1"/>
    <x v="1"/>
    <x v="0"/>
    <n v="3"/>
    <n v="2954"/>
    <n v="0"/>
    <x v="0"/>
    <n v="8862"/>
    <n v="6729.34"/>
    <n v="2132.66"/>
    <x v="5"/>
    <n v="6"/>
    <n v="4.1553740399313535"/>
  </r>
  <r>
    <s v="ORD10074"/>
    <d v="2026-06-16T07:53:55"/>
    <x v="72"/>
    <x v="3"/>
    <x v="1"/>
    <x v="3"/>
    <n v="1"/>
    <n v="1489"/>
    <n v="5"/>
    <x v="3"/>
    <n v="1414.55"/>
    <n v="1054.96"/>
    <n v="359.59"/>
    <x v="5"/>
    <n v="6"/>
    <n v="3.9337857003809895"/>
  </r>
  <r>
    <s v="ORD10075"/>
    <d v="2026-06-18T14:34:56"/>
    <x v="73"/>
    <x v="1"/>
    <x v="1"/>
    <x v="0"/>
    <n v="3"/>
    <n v="3185"/>
    <n v="15"/>
    <x v="0"/>
    <n v="8121.75"/>
    <n v="6460.81"/>
    <n v="1660.94"/>
    <x v="5"/>
    <n v="6"/>
    <n v="4.8898515298565872"/>
  </r>
  <r>
    <s v="ORD10076"/>
    <d v="2026-06-20T21:15:57"/>
    <x v="74"/>
    <x v="3"/>
    <x v="1"/>
    <x v="3"/>
    <n v="1"/>
    <n v="1103"/>
    <n v="5"/>
    <x v="1"/>
    <n v="1047.8499999999999"/>
    <n v="803.72"/>
    <n v="244.13"/>
    <x v="5"/>
    <n v="6"/>
    <n v="4.2921803956908198"/>
  </r>
  <r>
    <s v="ORD10077"/>
    <d v="2026-06-23T03:56:58"/>
    <x v="75"/>
    <x v="4"/>
    <x v="0"/>
    <x v="3"/>
    <n v="5"/>
    <n v="55192"/>
    <n v="5"/>
    <x v="1"/>
    <n v="262162"/>
    <n v="204668.87"/>
    <n v="57493.13"/>
    <x v="5"/>
    <n v="6"/>
    <n v="4.5598839374373945"/>
  </r>
  <r>
    <s v="ORD10078"/>
    <d v="2026-06-25T10:37:58"/>
    <x v="76"/>
    <x v="0"/>
    <x v="0"/>
    <x v="1"/>
    <n v="2"/>
    <n v="14045"/>
    <n v="10"/>
    <x v="1"/>
    <n v="25281"/>
    <n v="17100.240000000002"/>
    <n v="8180.76"/>
    <x v="5"/>
    <n v="6"/>
    <n v="3.0902996787584525"/>
  </r>
  <r>
    <s v="ORD10079"/>
    <d v="2026-06-27T17:18:59"/>
    <x v="77"/>
    <x v="0"/>
    <x v="0"/>
    <x v="0"/>
    <n v="2"/>
    <n v="13975"/>
    <n v="0"/>
    <x v="2"/>
    <n v="27950"/>
    <n v="18320.89"/>
    <n v="9629.11"/>
    <x v="5"/>
    <n v="6"/>
    <n v="2.9026566318174782"/>
  </r>
  <r>
    <s v="ORD10080"/>
    <d v="2026-06-30T00:00:00"/>
    <x v="78"/>
    <x v="0"/>
    <x v="0"/>
    <x v="2"/>
    <n v="2"/>
    <n v="13838"/>
    <n v="15"/>
    <x v="1"/>
    <n v="23524.6"/>
    <n v="18116.830000000002"/>
    <n v="5407.77"/>
    <x v="5"/>
    <n v="6"/>
    <n v="4.350148027745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F538B-BCF1-454C-A804-06BC6EC8D8A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0" firstHeaderRow="0" firstDataRow="1" firstDataCol="1"/>
  <pivotFields count="16">
    <pivotField showAll="0"/>
    <pivotField numFmtId="164" showAll="0"/>
    <pivotField showAll="0"/>
    <pivotField showAll="0"/>
    <pivotField showAll="0"/>
    <pivotField showAll="0">
      <items count="6">
        <item x="2"/>
        <item x="0"/>
        <item x="1"/>
        <item x="4"/>
        <item x="3"/>
        <item t="default"/>
      </items>
    </pivotField>
    <pivotField showAll="0"/>
    <pivotField showAll="0"/>
    <pivotField showAll="0"/>
    <pivotField showAll="0"/>
    <pivotField dataField="1" showAll="0"/>
    <pivotField showAll="0"/>
    <pivotField dataField="1" showAll="0"/>
    <pivotField axis="axisRow" showAll="0" sortType="descending">
      <items count="7">
        <item x="0"/>
        <item x="1"/>
        <item x="2"/>
        <item x="3"/>
        <item x="4"/>
        <item x="5"/>
        <item t="default"/>
      </items>
      <autoSortScope>
        <pivotArea dataOnly="0" outline="0" fieldPosition="0">
          <references count="1">
            <reference field="4294967294" count="1" selected="0">
              <x v="1"/>
            </reference>
          </references>
        </pivotArea>
      </autoSortScope>
    </pivotField>
    <pivotField showAll="0"/>
    <pivotField numFmtId="9" showAll="0"/>
  </pivotFields>
  <rowFields count="1">
    <field x="13"/>
  </rowFields>
  <rowItems count="7">
    <i>
      <x v="1"/>
    </i>
    <i>
      <x v="5"/>
    </i>
    <i>
      <x v="3"/>
    </i>
    <i>
      <x v="2"/>
    </i>
    <i>
      <x v="4"/>
    </i>
    <i>
      <x/>
    </i>
    <i t="grand">
      <x/>
    </i>
  </rowItems>
  <colFields count="1">
    <field x="-2"/>
  </colFields>
  <colItems count="2">
    <i>
      <x/>
    </i>
    <i i="1">
      <x v="1"/>
    </i>
  </colItems>
  <dataFields count="2">
    <dataField name="Sum of Profit" fld="12" baseField="0" baseItem="0" numFmtId="3"/>
    <dataField name="Sum of Sales" fld="10" baseField="0" baseItem="0" numFmtId="3"/>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AE409-30BE-4B2B-9DCE-4600674D31E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3:I6" firstHeaderRow="1" firstDataRow="1" firstDataCol="1"/>
  <pivotFields count="16">
    <pivotField showAll="0"/>
    <pivotField numFmtId="164"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6">
        <item x="2"/>
        <item x="0"/>
        <item x="1"/>
        <item x="4"/>
        <item x="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9" showAll="0"/>
  </pivotFields>
  <rowFields count="1">
    <field x="4"/>
  </rowFields>
  <rowItems count="3">
    <i>
      <x v="1"/>
    </i>
    <i>
      <x/>
    </i>
    <i t="grand">
      <x/>
    </i>
  </rowItems>
  <colItems count="1">
    <i/>
  </colItems>
  <dataFields count="1">
    <dataField name="Sum of Profit" fld="12" baseField="0" baseItem="0" numFmtId="3"/>
  </dataFields>
  <formats count="2">
    <format dxfId="6">
      <pivotArea outline="0" collapsedLevelsAreSubtotals="1" fieldPosition="0"/>
    </format>
    <format dxfId="5">
      <pivotArea dataOnly="0" labelOnly="1" outline="0" axis="axisValues" fieldPosition="0"/>
    </format>
  </formats>
  <chartFormats count="2">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CE3ED-63DD-454E-980B-2F253A3C6C1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K3:L9" firstHeaderRow="1" firstDataRow="1" firstDataCol="1"/>
  <pivotFields count="16">
    <pivotField showAll="0"/>
    <pivotField numFmtId="164" showAll="0"/>
    <pivotField showAll="0"/>
    <pivotField showAll="0"/>
    <pivotField showAll="0"/>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s>
  <rowFields count="1">
    <field x="5"/>
  </rowFields>
  <rowItems count="6">
    <i>
      <x v="4"/>
    </i>
    <i>
      <x/>
    </i>
    <i>
      <x v="2"/>
    </i>
    <i>
      <x v="1"/>
    </i>
    <i>
      <x v="3"/>
    </i>
    <i t="grand">
      <x/>
    </i>
  </rowItems>
  <colItems count="1">
    <i/>
  </colItems>
  <dataFields count="1">
    <dataField name="Sum of Sales" fld="10" baseField="0" baseItem="0" numFmtId="3"/>
  </dataFields>
  <formats count="1">
    <format dxfId="7">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9A10A-0AD9-4E3C-A1FA-4D7C1EFB921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Q2:R9" firstHeaderRow="1" firstDataRow="1" firstDataCol="1"/>
  <pivotFields count="16">
    <pivotField showAll="0"/>
    <pivotField numFmtId="164" showAll="0"/>
    <pivotField showAll="0"/>
    <pivotField axis="axisRow" showAll="0" sortType="de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numFmtId="9" showAll="0"/>
  </pivotFields>
  <rowFields count="1">
    <field x="3"/>
  </rowFields>
  <rowItems count="7">
    <i>
      <x v="3"/>
    </i>
    <i>
      <x v="4"/>
    </i>
    <i>
      <x/>
    </i>
    <i>
      <x v="1"/>
    </i>
    <i>
      <x v="2"/>
    </i>
    <i>
      <x v="5"/>
    </i>
    <i t="grand">
      <x/>
    </i>
  </rowItems>
  <colItems count="1">
    <i/>
  </colItems>
  <dataFields count="1">
    <dataField name="Sum of Quantity" fld="6" baseField="0" baseItem="0"/>
  </dataFields>
  <chartFormats count="1">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69412-7DFC-4F84-9DFF-5BCCD4F963C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E12:F18" firstHeaderRow="1" firstDataRow="1" firstDataCol="1"/>
  <pivotFields count="16">
    <pivotField showAll="0"/>
    <pivotField numFmtId="164" showAll="0"/>
    <pivotField axis="axisRow" showAll="0" measureFilter="1" sortType="descending">
      <items count="80">
        <item x="15"/>
        <item x="0"/>
        <item x="1"/>
        <item x="2"/>
        <item x="3"/>
        <item x="4"/>
        <item x="5"/>
        <item x="6"/>
        <item x="7"/>
        <item x="8"/>
        <item x="9"/>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0"/>
        <item x="1"/>
        <item x="4"/>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s>
  <rowFields count="1">
    <field x="2"/>
  </rowFields>
  <rowItems count="6">
    <i>
      <x v="75"/>
    </i>
    <i>
      <x v="11"/>
    </i>
    <i>
      <x v="23"/>
    </i>
    <i>
      <x v="18"/>
    </i>
    <i>
      <x v="41"/>
    </i>
    <i t="grand">
      <x/>
    </i>
  </rowItems>
  <colItems count="1">
    <i/>
  </colItems>
  <dataFields count="1">
    <dataField name="Sum of Sales" fld="10" baseField="0" baseItem="0" numFmtId="3"/>
  </dataFields>
  <formats count="1">
    <format dxfId="8">
      <pivotArea outline="0" collapsedLevelsAreSubtotals="1" fieldPosition="0"/>
    </format>
  </formats>
  <chartFormats count="1">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3516F8-EB9F-4482-B3E6-804E9D5352A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17:H18" firstHeaderRow="1" firstDataRow="1" firstDataCol="0"/>
  <pivotFields count="16">
    <pivotField dataField="1" showAll="0"/>
    <pivotField numFmtId="164" showAll="0"/>
    <pivotField showAll="0"/>
    <pivotField showAll="0"/>
    <pivotField showAll="0"/>
    <pivotField showAll="0">
      <items count="6">
        <item x="2"/>
        <item x="0"/>
        <item x="1"/>
        <item x="4"/>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Count of Order_ID" fld="0" subtotal="count"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CD89BB-124E-42AB-B064-687AC52CDE41}"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23:H24" firstHeaderRow="1" firstDataRow="1" firstDataCol="0"/>
  <pivotFields count="16">
    <pivotField showAll="0"/>
    <pivotField numFmtId="16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s>
  <rowItems count="1">
    <i/>
  </rowItems>
  <colItems count="1">
    <i/>
  </colItems>
  <dataFields count="1">
    <dataField name="Sum of Cost" fld="11" baseField="0" baseItem="0" numFmtId="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E91E75-92B8-4E5A-9AA4-6555239A7AA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11:H12" firstHeaderRow="1" firstDataRow="1" firstDataCol="0"/>
  <pivotFields count="16">
    <pivotField showAll="0"/>
    <pivotField numFmtId="164" showAll="0"/>
    <pivotField showAll="0"/>
    <pivotField showAll="0"/>
    <pivotField showAll="0"/>
    <pivotField showAll="0">
      <items count="6">
        <item x="2"/>
        <item x="0"/>
        <item x="1"/>
        <item x="4"/>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Sum of Sales" fld="10" baseField="0" baseItem="0" numFmtId="3"/>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EC7864-B343-4641-9B0E-BE5EBC2597A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10" firstHeaderRow="1" firstDataRow="1" firstDataCol="1"/>
  <pivotFields count="16">
    <pivotField showAll="0"/>
    <pivotField numFmtId="164" showAll="0"/>
    <pivotField showAll="0"/>
    <pivotField axis="axisRow" showAll="0" sortType="de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showAll="0">
      <items count="6">
        <item x="2"/>
        <item x="0"/>
        <item x="1"/>
        <item x="4"/>
        <item x="3"/>
        <item t="default"/>
      </items>
    </pivotField>
    <pivotField showAll="0"/>
    <pivotField showAll="0"/>
    <pivotField showAll="0"/>
    <pivotField showAll="0"/>
    <pivotField dataField="1" showAll="0"/>
    <pivotField showAll="0"/>
    <pivotField showAll="0"/>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9" showAll="0"/>
  </pivotFields>
  <rowFields count="1">
    <field x="3"/>
  </rowFields>
  <rowItems count="7">
    <i>
      <x v="2"/>
    </i>
    <i>
      <x v="3"/>
    </i>
    <i>
      <x/>
    </i>
    <i>
      <x v="1"/>
    </i>
    <i>
      <x v="4"/>
    </i>
    <i>
      <x v="5"/>
    </i>
    <i t="grand">
      <x/>
    </i>
  </rowItems>
  <colItems count="1">
    <i/>
  </colItems>
  <dataFields count="1">
    <dataField name="Sum of Sales" fld="10" baseField="0" baseItem="0" numFmtId="3"/>
  </dataFields>
  <formats count="1">
    <format dxfId="12">
      <pivotArea outline="0" collapsedLevelsAreSubtotals="1" fieldPosition="0"/>
    </format>
  </formats>
  <chartFormats count="2">
    <chartFormat chart="6"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109F2F-6FB5-4C09-9496-543CDFAE5C75}"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20:H21" firstHeaderRow="1" firstDataRow="1" firstDataCol="0"/>
  <pivotFields count="16">
    <pivotField showAll="0"/>
    <pivotField numFmtId="164" showAll="0"/>
    <pivotField showAll="0"/>
    <pivotField showAll="0"/>
    <pivotField showAll="0"/>
    <pivotField showAll="0">
      <items count="6">
        <item x="2"/>
        <item x="0"/>
        <item x="1"/>
        <item x="4"/>
        <item x="3"/>
        <item t="default"/>
      </items>
    </pivotField>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Sum of Quantity" fld="6" baseField="0" baseItem="0" numFmtId="3"/>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D68B6F-0291-4832-A0F3-C737865BA3E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B12:C18" firstHeaderRow="1" firstDataRow="1" firstDataCol="1"/>
  <pivotFields count="16">
    <pivotField dataField="1" showAll="0"/>
    <pivotField numFmtId="164" showAll="0"/>
    <pivotField showAll="0"/>
    <pivotField showAll="0"/>
    <pivotField showAll="0"/>
    <pivotField showAll="0">
      <items count="6">
        <item x="2"/>
        <item x="0"/>
        <item x="1"/>
        <item x="4"/>
        <item x="3"/>
        <item t="default"/>
      </items>
    </pivotField>
    <pivotField showAll="0"/>
    <pivotField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0"/>
        <item x="1"/>
        <item x="2"/>
        <item x="3"/>
        <item x="4"/>
        <item x="5"/>
        <item t="default"/>
      </items>
    </pivotField>
    <pivotField showAll="0"/>
    <pivotField numFmtId="9" showAll="0"/>
  </pivotFields>
  <rowFields count="1">
    <field x="9"/>
  </rowFields>
  <rowItems count="6">
    <i>
      <x v="4"/>
    </i>
    <i>
      <x v="3"/>
    </i>
    <i>
      <x/>
    </i>
    <i>
      <x v="2"/>
    </i>
    <i>
      <x v="1"/>
    </i>
    <i t="grand">
      <x/>
    </i>
  </rowItems>
  <colItems count="1">
    <i/>
  </colItems>
  <dataFields count="1">
    <dataField name="Count of Order_ID" fld="0" subtotal="count" baseField="0" baseItem="0" numFmtId="3"/>
  </dataFields>
  <formats count="2">
    <format dxfId="17">
      <pivotArea outline="0" collapsedLevelsAreSubtotals="1" fieldPosition="0"/>
    </format>
    <format dxfId="16">
      <pivotArea dataOnly="0" labelOnly="1" outline="0" axis="axisValues" fieldPosition="0"/>
    </format>
  </formats>
  <chartFormats count="6">
    <chartFormat chart="56" format="7" series="1">
      <pivotArea type="data" outline="0" fieldPosition="0">
        <references count="1">
          <reference field="4294967294" count="1" selected="0">
            <x v="0"/>
          </reference>
        </references>
      </pivotArea>
    </chartFormat>
    <chartFormat chart="56" format="8">
      <pivotArea type="data" outline="0" fieldPosition="0">
        <references count="2">
          <reference field="4294967294" count="1" selected="0">
            <x v="0"/>
          </reference>
          <reference field="9" count="1" selected="0">
            <x v="4"/>
          </reference>
        </references>
      </pivotArea>
    </chartFormat>
    <chartFormat chart="56" format="9">
      <pivotArea type="data" outline="0" fieldPosition="0">
        <references count="2">
          <reference field="4294967294" count="1" selected="0">
            <x v="0"/>
          </reference>
          <reference field="9" count="1" selected="0">
            <x v="3"/>
          </reference>
        </references>
      </pivotArea>
    </chartFormat>
    <chartFormat chart="56" format="10">
      <pivotArea type="data" outline="0" fieldPosition="0">
        <references count="2">
          <reference field="4294967294" count="1" selected="0">
            <x v="0"/>
          </reference>
          <reference field="9" count="1" selected="0">
            <x v="0"/>
          </reference>
        </references>
      </pivotArea>
    </chartFormat>
    <chartFormat chart="56" format="11">
      <pivotArea type="data" outline="0" fieldPosition="0">
        <references count="2">
          <reference field="4294967294" count="1" selected="0">
            <x v="0"/>
          </reference>
          <reference field="9" count="1" selected="0">
            <x v="2"/>
          </reference>
        </references>
      </pivotArea>
    </chartFormat>
    <chartFormat chart="56" format="1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DE5F8F-AF8E-4121-9A4F-7294E5A5F88D}"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26:H27" firstHeaderRow="1" firstDataRow="1" firstDataCol="0"/>
  <pivotFields count="16">
    <pivotField showAll="0"/>
    <pivotField numFmtId="164" showAll="0"/>
    <pivotField showAll="0"/>
    <pivotField showAll="0"/>
    <pivotField showAll="0"/>
    <pivotField showAll="0">
      <items count="6">
        <item x="2"/>
        <item x="0"/>
        <item x="1"/>
        <item x="4"/>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dataField="1" numFmtId="9" showAll="0"/>
  </pivotFields>
  <rowItems count="1">
    <i/>
  </rowItems>
  <colItems count="1">
    <i/>
  </colItems>
  <dataFields count="1">
    <dataField name="Sum of Profit_Margin_%" fld="15" baseField="0" baseItem="0" numFmtId="9"/>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29E536-C54D-42C2-AF6B-A78FB135056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N2:O8" firstHeaderRow="1" firstDataRow="1" firstDataCol="1"/>
  <pivotFields count="16">
    <pivotField showAll="0"/>
    <pivotField numFmtId="164" showAll="0"/>
    <pivotField showAll="0"/>
    <pivotField showAll="0"/>
    <pivotField showAll="0"/>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9" showAll="0"/>
  </pivotFields>
  <rowFields count="1">
    <field x="5"/>
  </rowFields>
  <rowItems count="6">
    <i>
      <x/>
    </i>
    <i>
      <x v="1"/>
    </i>
    <i>
      <x v="4"/>
    </i>
    <i>
      <x v="2"/>
    </i>
    <i>
      <x v="3"/>
    </i>
    <i t="grand">
      <x/>
    </i>
  </rowItems>
  <colItems count="1">
    <i/>
  </colItems>
  <dataFields count="1">
    <dataField name="Sum of Profit_Margin_%" fld="15" baseField="0" baseItem="0" numFmtId="9"/>
  </dataFields>
  <chartFormats count="2">
    <chartFormat chart="40"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5ED5F1-3B58-429A-9632-89E6147C401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14:H15" firstHeaderRow="1" firstDataRow="1" firstDataCol="0"/>
  <pivotFields count="16">
    <pivotField showAll="0"/>
    <pivotField numFmtId="164" showAll="0"/>
    <pivotField showAll="0"/>
    <pivotField showAll="0"/>
    <pivotField showAll="0"/>
    <pivotField showAll="0">
      <items count="6">
        <item x="2"/>
        <item x="0"/>
        <item x="1"/>
        <item x="4"/>
        <item x="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9" showAll="0"/>
  </pivotFields>
  <rowItems count="1">
    <i/>
  </rowItems>
  <colItems count="1">
    <i/>
  </colItems>
  <dataFields count="1">
    <dataField name="Sum of Profit" fld="12" baseField="0" baseItem="0" numFmtId="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57E85A2-9CE6-43AB-AFF0-B7E7B364D8AE}" sourceName="Month">
  <pivotTables>
    <pivotTable tabId="2" name="PivotTable1"/>
    <pivotTable tabId="2" name="PivotTable11"/>
    <pivotTable tabId="2" name="PivotTable12"/>
    <pivotTable tabId="2" name="PivotTable15"/>
    <pivotTable tabId="2" name="PivotTable2"/>
    <pivotTable tabId="2" name="PivotTable3"/>
    <pivotTable tabId="2" name="PivotTable4"/>
    <pivotTable tabId="2" name="PivotTable7"/>
    <pivotTable tabId="2" name="PivotTable8"/>
    <pivotTable tabId="2" name="PivotTable9"/>
    <pivotTable tabId="2" name="PivotTable16"/>
  </pivotTables>
  <data>
    <tabular pivotCacheId="688664807">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33D509-5497-49CF-9A69-EC1A0064F8E4}" sourceName="Region">
  <pivotTables>
    <pivotTable tabId="2" name="PivotTable1"/>
    <pivotTable tabId="2" name="PivotTable11"/>
    <pivotTable tabId="2" name="PivotTable12"/>
    <pivotTable tabId="2" name="PivotTable15"/>
    <pivotTable tabId="2" name="PivotTable2"/>
    <pivotTable tabId="2" name="PivotTable3"/>
    <pivotTable tabId="2" name="PivotTable4"/>
    <pivotTable tabId="2" name="PivotTable7"/>
    <pivotTable tabId="2" name="PivotTable8"/>
    <pivotTable tabId="2" name="PivotTable9"/>
    <pivotTable tabId="2" name="PivotTable16"/>
  </pivotTables>
  <data>
    <tabular pivotCacheId="688664807">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006804A-3546-4EC6-BC4D-ABAD488C3D42}" cache="Slicer_Month" caption="Month" columnCount="6" style="SlicerStyleDark1" rowHeight="576000"/>
  <slicer name="Region" xr10:uid="{45164834-2140-4E94-A16C-4585BCC1F7D5}" cache="Slicer_Region" caption="Region"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2584CA-454C-4B9A-9918-42263DC86445}" name="Table3" displayName="Table3" ref="A1:P81" totalsRowShown="0" headerRowDxfId="2">
  <autoFilter ref="A1:P81" xr:uid="{9A2584CA-454C-4B9A-9918-42263DC86445}"/>
  <tableColumns count="16">
    <tableColumn id="1" xr3:uid="{783910C3-B4F1-461B-8A06-ADE915FADC49}" name="Order_ID"/>
    <tableColumn id="2" xr3:uid="{BDC4713E-213D-4651-8474-0A8590EB76BF}" name="Order_Date" dataDxfId="1"/>
    <tableColumn id="3" xr3:uid="{AFF918A5-B1B9-4268-945B-318C6F3828BF}" name="Customer"/>
    <tableColumn id="4" xr3:uid="{C06E45C8-AD3B-4D22-B09F-511551DC5D27}" name="Product"/>
    <tableColumn id="5" xr3:uid="{9C2F94DF-66E0-44F9-8881-906E9A35F386}" name="Category"/>
    <tableColumn id="6" xr3:uid="{905DB7B7-C33D-4989-B19D-C06388B8FE7A}" name="Region"/>
    <tableColumn id="7" xr3:uid="{DB4D310E-6555-4907-85ED-1EE128EED8FB}" name="Quantity"/>
    <tableColumn id="8" xr3:uid="{AECE4843-575E-47D0-9AC8-772983A203A7}" name="Unit_Price"/>
    <tableColumn id="9" xr3:uid="{49631046-ABF6-4AC9-BC28-7AA952F00BEA}" name="Discount_%"/>
    <tableColumn id="10" xr3:uid="{FCBAA505-267F-4BD8-807B-D423E016C105}" name="Payment_Mode"/>
    <tableColumn id="11" xr3:uid="{CB663419-7581-42C4-9214-E8FE19D106A9}" name="Sales"/>
    <tableColumn id="12" xr3:uid="{3E93ACB4-82CB-49D6-A1C2-D22EFD8F8ACB}" name="Cost"/>
    <tableColumn id="13" xr3:uid="{D078D750-B5EB-44F7-BA4E-00B3F26E9CD6}" name="Profit"/>
    <tableColumn id="14" xr3:uid="{1006DD85-52A5-47EC-9445-27FD1666523F}" name="Month">
      <calculatedColumnFormula>TEXT(B2,"MMM")</calculatedColumnFormula>
    </tableColumn>
    <tableColumn id="15" xr3:uid="{9F958AC9-C802-4F97-B1F9-778B6D457B4A}" name="Months_N0">
      <calculatedColumnFormula>MONTH(B2)</calculatedColumnFormula>
    </tableColumn>
    <tableColumn id="16" xr3:uid="{6F4DA7D8-3B94-4A40-9425-71918ECF6564}" name="Profit_Margin_%" dataDxfId="0" dataCellStyle="Percent">
      <calculatedColumnFormula>K2/M2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879A-ED44-4D83-90DD-1D473BD6F4AC}">
  <dimension ref="A2:R27"/>
  <sheetViews>
    <sheetView topLeftCell="B1" workbookViewId="0">
      <selection activeCell="N66" sqref="N66"/>
    </sheetView>
  </sheetViews>
  <sheetFormatPr defaultRowHeight="14.4" x14ac:dyDescent="0.3"/>
  <cols>
    <col min="1" max="2" width="12.5546875" bestFit="1" customWidth="1"/>
    <col min="3" max="3" width="16.44140625" bestFit="1" customWidth="1"/>
    <col min="5" max="5" width="12.5546875" bestFit="1" customWidth="1"/>
    <col min="6" max="6" width="11.6640625" bestFit="1" customWidth="1"/>
    <col min="8" max="8" width="14.88671875" bestFit="1" customWidth="1"/>
    <col min="9" max="9" width="12.109375" bestFit="1" customWidth="1"/>
    <col min="11" max="11" width="12.5546875" bestFit="1" customWidth="1"/>
    <col min="12" max="13" width="11.6640625" bestFit="1" customWidth="1"/>
    <col min="14" max="14" width="12.5546875" bestFit="1" customWidth="1"/>
    <col min="15" max="15" width="21.88671875" bestFit="1" customWidth="1"/>
    <col min="17" max="17" width="12.5546875" bestFit="1" customWidth="1"/>
    <col min="18" max="18" width="14.88671875" bestFit="1" customWidth="1"/>
  </cols>
  <sheetData>
    <row r="2" spans="1:18" x14ac:dyDescent="0.3">
      <c r="N2" s="5" t="s">
        <v>194</v>
      </c>
      <c r="O2" t="s">
        <v>204</v>
      </c>
      <c r="Q2" s="5" t="s">
        <v>194</v>
      </c>
      <c r="R2" t="s">
        <v>205</v>
      </c>
    </row>
    <row r="3" spans="1:18" x14ac:dyDescent="0.3">
      <c r="A3" s="5" t="s">
        <v>194</v>
      </c>
      <c r="B3" t="s">
        <v>202</v>
      </c>
      <c r="C3" t="s">
        <v>203</v>
      </c>
      <c r="E3" s="5" t="s">
        <v>194</v>
      </c>
      <c r="F3" t="s">
        <v>203</v>
      </c>
      <c r="H3" s="5" t="s">
        <v>194</v>
      </c>
      <c r="I3" s="8" t="s">
        <v>202</v>
      </c>
      <c r="K3" s="5" t="s">
        <v>194</v>
      </c>
      <c r="L3" t="s">
        <v>203</v>
      </c>
      <c r="N3" s="6" t="s">
        <v>181</v>
      </c>
      <c r="O3" s="7">
        <v>96.85686376911822</v>
      </c>
      <c r="Q3" s="6" t="s">
        <v>172</v>
      </c>
      <c r="R3">
        <v>66</v>
      </c>
    </row>
    <row r="4" spans="1:18" x14ac:dyDescent="0.3">
      <c r="A4" s="6" t="s">
        <v>196</v>
      </c>
      <c r="B4" s="8">
        <v>213652.36000000002</v>
      </c>
      <c r="C4" s="8">
        <v>662610.15</v>
      </c>
      <c r="E4" s="6" t="s">
        <v>176</v>
      </c>
      <c r="F4" s="8">
        <v>1499972.4000000001</v>
      </c>
      <c r="H4" s="6" t="s">
        <v>178</v>
      </c>
      <c r="I4" s="8">
        <v>711452.65000000026</v>
      </c>
      <c r="K4" s="6" t="s">
        <v>182</v>
      </c>
      <c r="L4" s="8">
        <v>858555.1</v>
      </c>
      <c r="N4" s="6" t="s">
        <v>180</v>
      </c>
      <c r="O4" s="7">
        <v>88.35387707484179</v>
      </c>
      <c r="Q4" s="6" t="s">
        <v>175</v>
      </c>
      <c r="R4">
        <v>51</v>
      </c>
    </row>
    <row r="5" spans="1:18" x14ac:dyDescent="0.3">
      <c r="A5" s="6" t="s">
        <v>200</v>
      </c>
      <c r="B5" s="8">
        <v>168799.19999999998</v>
      </c>
      <c r="C5" s="8">
        <v>615611.19999999995</v>
      </c>
      <c r="E5" s="6" t="s">
        <v>172</v>
      </c>
      <c r="F5" s="8">
        <v>879964.95</v>
      </c>
      <c r="H5" s="6" t="s">
        <v>179</v>
      </c>
      <c r="I5" s="8">
        <v>68550.87</v>
      </c>
      <c r="K5" s="6" t="s">
        <v>181</v>
      </c>
      <c r="L5" s="8">
        <v>650732.74999999977</v>
      </c>
      <c r="N5" s="6" t="s">
        <v>182</v>
      </c>
      <c r="O5" s="7">
        <v>64.40162025524296</v>
      </c>
      <c r="Q5" s="6" t="s">
        <v>173</v>
      </c>
      <c r="R5">
        <v>39</v>
      </c>
    </row>
    <row r="6" spans="1:18" x14ac:dyDescent="0.3">
      <c r="A6" s="6" t="s">
        <v>198</v>
      </c>
      <c r="B6" s="8">
        <v>141481.59</v>
      </c>
      <c r="C6" s="8">
        <v>496053.4</v>
      </c>
      <c r="E6" s="6" t="s">
        <v>173</v>
      </c>
      <c r="F6" s="8">
        <v>109501.65000000001</v>
      </c>
      <c r="H6" s="6" t="s">
        <v>201</v>
      </c>
      <c r="I6" s="8">
        <v>780003.52000000025</v>
      </c>
      <c r="K6" s="6" t="s">
        <v>183</v>
      </c>
      <c r="L6" s="8">
        <v>622693.85</v>
      </c>
      <c r="N6" s="6" t="s">
        <v>183</v>
      </c>
      <c r="O6" s="7">
        <v>37.233838629072537</v>
      </c>
      <c r="Q6" s="6" t="s">
        <v>174</v>
      </c>
      <c r="R6">
        <v>32</v>
      </c>
    </row>
    <row r="7" spans="1:18" x14ac:dyDescent="0.3">
      <c r="A7" s="6" t="s">
        <v>197</v>
      </c>
      <c r="B7" s="8">
        <v>129291.87000000001</v>
      </c>
      <c r="C7" s="8">
        <v>411976.65</v>
      </c>
      <c r="E7" s="6" t="s">
        <v>174</v>
      </c>
      <c r="F7" s="8">
        <v>67251.3</v>
      </c>
      <c r="K7" s="6" t="s">
        <v>180</v>
      </c>
      <c r="L7" s="8">
        <v>496216.65</v>
      </c>
      <c r="N7" s="6" t="s">
        <v>190</v>
      </c>
      <c r="O7" s="7">
        <v>2.8784400839195361</v>
      </c>
      <c r="Q7" s="6" t="s">
        <v>176</v>
      </c>
      <c r="R7">
        <v>30</v>
      </c>
    </row>
    <row r="8" spans="1:18" x14ac:dyDescent="0.3">
      <c r="A8" s="6" t="s">
        <v>199</v>
      </c>
      <c r="B8" s="8">
        <v>72112.219999999987</v>
      </c>
      <c r="C8" s="8">
        <v>265665.5</v>
      </c>
      <c r="E8" s="6" t="s">
        <v>175</v>
      </c>
      <c r="F8" s="8">
        <v>60466.55</v>
      </c>
      <c r="K8" s="6" t="s">
        <v>190</v>
      </c>
      <c r="L8" s="8">
        <v>1166.2</v>
      </c>
      <c r="N8" s="6" t="s">
        <v>201</v>
      </c>
      <c r="O8" s="7">
        <v>289.72463981219505</v>
      </c>
      <c r="Q8" s="6" t="s">
        <v>177</v>
      </c>
      <c r="R8">
        <v>1</v>
      </c>
    </row>
    <row r="9" spans="1:18" x14ac:dyDescent="0.3">
      <c r="A9" s="6" t="s">
        <v>195</v>
      </c>
      <c r="B9" s="8">
        <v>54666.280000000013</v>
      </c>
      <c r="C9" s="8">
        <v>177447.65</v>
      </c>
      <c r="E9" s="6" t="s">
        <v>177</v>
      </c>
      <c r="F9" s="8">
        <v>12207.7</v>
      </c>
      <c r="K9" s="6" t="s">
        <v>201</v>
      </c>
      <c r="L9" s="8">
        <v>2629364.5499999998</v>
      </c>
      <c r="Q9" s="6" t="s">
        <v>201</v>
      </c>
      <c r="R9">
        <v>219</v>
      </c>
    </row>
    <row r="10" spans="1:18" x14ac:dyDescent="0.3">
      <c r="A10" s="6" t="s">
        <v>201</v>
      </c>
      <c r="B10" s="8">
        <v>780003.5199999999</v>
      </c>
      <c r="C10" s="8">
        <v>2629364.5499999998</v>
      </c>
      <c r="E10" s="6" t="s">
        <v>201</v>
      </c>
      <c r="F10" s="8">
        <v>2629364.5499999998</v>
      </c>
    </row>
    <row r="11" spans="1:18" x14ac:dyDescent="0.3">
      <c r="H11" t="s">
        <v>203</v>
      </c>
    </row>
    <row r="12" spans="1:18" x14ac:dyDescent="0.3">
      <c r="B12" s="5" t="s">
        <v>194</v>
      </c>
      <c r="C12" s="8" t="s">
        <v>206</v>
      </c>
      <c r="E12" s="5" t="s">
        <v>194</v>
      </c>
      <c r="F12" t="s">
        <v>203</v>
      </c>
      <c r="H12" s="8">
        <v>2629364.5499999998</v>
      </c>
      <c r="I12" s="8">
        <f>GETPIVOTDATA("Sales",$H$11)</f>
        <v>2629364.5499999998</v>
      </c>
    </row>
    <row r="13" spans="1:18" x14ac:dyDescent="0.3">
      <c r="B13" s="6" t="s">
        <v>185</v>
      </c>
      <c r="C13" s="8">
        <v>24</v>
      </c>
      <c r="E13" s="6" t="s">
        <v>168</v>
      </c>
      <c r="F13" s="8">
        <v>262162</v>
      </c>
    </row>
    <row r="14" spans="1:18" x14ac:dyDescent="0.3">
      <c r="B14" s="6" t="s">
        <v>186</v>
      </c>
      <c r="C14" s="8">
        <v>20</v>
      </c>
      <c r="E14" s="6" t="s">
        <v>103</v>
      </c>
      <c r="F14" s="8">
        <v>256020.8</v>
      </c>
      <c r="H14" t="s">
        <v>202</v>
      </c>
    </row>
    <row r="15" spans="1:18" x14ac:dyDescent="0.3">
      <c r="B15" s="6" t="s">
        <v>188</v>
      </c>
      <c r="C15" s="8">
        <v>18</v>
      </c>
      <c r="E15" s="6" t="s">
        <v>116</v>
      </c>
      <c r="F15" s="8">
        <v>198853.2</v>
      </c>
      <c r="H15" s="8">
        <v>780003.52000000025</v>
      </c>
      <c r="I15" s="8">
        <f>GETPIVOTDATA("Profit",$H$14)</f>
        <v>780003.52000000025</v>
      </c>
    </row>
    <row r="16" spans="1:18" x14ac:dyDescent="0.3">
      <c r="B16" s="6" t="s">
        <v>184</v>
      </c>
      <c r="C16" s="8">
        <v>17</v>
      </c>
      <c r="E16" s="6" t="s">
        <v>111</v>
      </c>
      <c r="F16" s="8">
        <v>188594.6</v>
      </c>
    </row>
    <row r="17" spans="2:9" x14ac:dyDescent="0.3">
      <c r="B17" s="6" t="s">
        <v>189</v>
      </c>
      <c r="C17" s="8">
        <v>1</v>
      </c>
      <c r="E17" s="6" t="s">
        <v>134</v>
      </c>
      <c r="F17" s="8">
        <v>156627.45000000001</v>
      </c>
      <c r="H17" t="s">
        <v>206</v>
      </c>
    </row>
    <row r="18" spans="2:9" x14ac:dyDescent="0.3">
      <c r="B18" s="6" t="s">
        <v>201</v>
      </c>
      <c r="C18" s="8">
        <v>80</v>
      </c>
      <c r="E18" s="6" t="s">
        <v>201</v>
      </c>
      <c r="F18" s="8">
        <v>1062258.05</v>
      </c>
      <c r="H18" s="8">
        <v>80</v>
      </c>
      <c r="I18" s="8">
        <f>GETPIVOTDATA("Order_ID",$H$17)</f>
        <v>80</v>
      </c>
    </row>
    <row r="20" spans="2:9" x14ac:dyDescent="0.3">
      <c r="H20" s="8" t="s">
        <v>205</v>
      </c>
      <c r="I20" s="8"/>
    </row>
    <row r="21" spans="2:9" x14ac:dyDescent="0.3">
      <c r="H21" s="8">
        <v>219</v>
      </c>
      <c r="I21" s="8">
        <f>GETPIVOTDATA("Quantity",$H$20)</f>
        <v>219</v>
      </c>
    </row>
    <row r="23" spans="2:9" x14ac:dyDescent="0.3">
      <c r="H23" t="s">
        <v>207</v>
      </c>
    </row>
    <row r="24" spans="2:9" x14ac:dyDescent="0.3">
      <c r="H24" s="8">
        <v>1849361.0300000003</v>
      </c>
      <c r="I24" s="8">
        <f>GETPIVOTDATA("Cost",$H$23)</f>
        <v>1849361.0300000003</v>
      </c>
    </row>
    <row r="26" spans="2:9" x14ac:dyDescent="0.3">
      <c r="H26" t="s">
        <v>204</v>
      </c>
    </row>
    <row r="27" spans="2:9" x14ac:dyDescent="0.3">
      <c r="H27" s="7">
        <v>289.72463981219516</v>
      </c>
      <c r="I27" s="4">
        <f>GETPIVOTDATA("Profit_Margin_%",$H$26)</f>
        <v>289.72463981219516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B8A0-15E5-4C5B-A8A1-A4398B536E5F}">
  <dimension ref="A1"/>
  <sheetViews>
    <sheetView showGridLines="0" tabSelected="1" topLeftCell="A11" zoomScale="60" zoomScaleNormal="60" workbookViewId="0">
      <selection activeCell="AJ62" sqref="AJ6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
  <sheetViews>
    <sheetView workbookViewId="0">
      <selection sqref="A1:P81"/>
    </sheetView>
  </sheetViews>
  <sheetFormatPr defaultRowHeight="14.4" x14ac:dyDescent="0.3"/>
  <cols>
    <col min="1" max="1" width="10.44140625" customWidth="1"/>
    <col min="2" max="2" width="22.33203125" customWidth="1"/>
    <col min="3" max="3" width="11" customWidth="1"/>
    <col min="4" max="4" width="9.5546875" customWidth="1"/>
    <col min="5" max="5" width="10.44140625" customWidth="1"/>
    <col min="7" max="7" width="10.21875" customWidth="1"/>
    <col min="8" max="8" width="11.5546875" customWidth="1"/>
    <col min="9" max="9" width="12.6640625" customWidth="1"/>
    <col min="10" max="10" width="16.44140625" customWidth="1"/>
    <col min="15" max="15" width="12.77734375" customWidth="1"/>
    <col min="16" max="16" width="17"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3" t="s">
        <v>191</v>
      </c>
      <c r="O1" s="3" t="s">
        <v>192</v>
      </c>
      <c r="P1" s="3" t="s">
        <v>193</v>
      </c>
    </row>
    <row r="2" spans="1:16" x14ac:dyDescent="0.3">
      <c r="A2" t="s">
        <v>13</v>
      </c>
      <c r="B2" s="2">
        <v>46023</v>
      </c>
      <c r="C2" t="s">
        <v>93</v>
      </c>
      <c r="D2" t="s">
        <v>172</v>
      </c>
      <c r="E2" t="s">
        <v>178</v>
      </c>
      <c r="F2" t="s">
        <v>180</v>
      </c>
      <c r="G2">
        <v>3</v>
      </c>
      <c r="H2">
        <v>13962</v>
      </c>
      <c r="I2">
        <v>0</v>
      </c>
      <c r="J2" t="s">
        <v>184</v>
      </c>
      <c r="K2">
        <v>41886</v>
      </c>
      <c r="L2">
        <v>28238.14</v>
      </c>
      <c r="M2">
        <v>13647.86</v>
      </c>
      <c r="N2" t="str">
        <f>TEXT(B2,"MMM")</f>
        <v>Jan</v>
      </c>
      <c r="O2">
        <f>MONTH(B2)</f>
        <v>1</v>
      </c>
      <c r="P2" s="4">
        <f>K2/M2</f>
        <v>3.0690525840681246</v>
      </c>
    </row>
    <row r="3" spans="1:16" x14ac:dyDescent="0.3">
      <c r="A3" t="s">
        <v>14</v>
      </c>
      <c r="B3" s="2">
        <v>46025.278481012647</v>
      </c>
      <c r="C3" t="s">
        <v>94</v>
      </c>
      <c r="D3" t="s">
        <v>173</v>
      </c>
      <c r="E3" t="s">
        <v>179</v>
      </c>
      <c r="F3" t="s">
        <v>180</v>
      </c>
      <c r="G3">
        <v>1</v>
      </c>
      <c r="H3">
        <v>3480</v>
      </c>
      <c r="I3">
        <v>5</v>
      </c>
      <c r="J3" t="s">
        <v>185</v>
      </c>
      <c r="K3">
        <v>3306</v>
      </c>
      <c r="L3">
        <v>2339.9699999999998</v>
      </c>
      <c r="M3">
        <v>966.03</v>
      </c>
      <c r="N3" t="str">
        <f t="shared" ref="N3:N66" si="0">TEXT(B3,"MMM")</f>
        <v>Jan</v>
      </c>
      <c r="O3">
        <f t="shared" ref="O3:O66" si="1">MONTH(B3)</f>
        <v>1</v>
      </c>
      <c r="P3" s="4">
        <f t="shared" ref="P3:P66" si="2">K3/M3</f>
        <v>3.4222539672680972</v>
      </c>
    </row>
    <row r="4" spans="1:16" x14ac:dyDescent="0.3">
      <c r="A4" t="s">
        <v>15</v>
      </c>
      <c r="B4" s="2">
        <v>46027.556962025323</v>
      </c>
      <c r="C4" t="s">
        <v>95</v>
      </c>
      <c r="D4" t="s">
        <v>174</v>
      </c>
      <c r="E4" t="s">
        <v>179</v>
      </c>
      <c r="F4" t="s">
        <v>180</v>
      </c>
      <c r="G4">
        <v>2</v>
      </c>
      <c r="H4">
        <v>2160</v>
      </c>
      <c r="I4">
        <v>10</v>
      </c>
      <c r="J4" t="s">
        <v>184</v>
      </c>
      <c r="K4">
        <v>3888</v>
      </c>
      <c r="L4">
        <v>2471.5700000000002</v>
      </c>
      <c r="M4">
        <v>1416.43</v>
      </c>
      <c r="N4" t="str">
        <f t="shared" si="0"/>
        <v>Jan</v>
      </c>
      <c r="O4">
        <f t="shared" si="1"/>
        <v>1</v>
      </c>
      <c r="P4" s="4">
        <f t="shared" si="2"/>
        <v>2.744929152870244</v>
      </c>
    </row>
    <row r="5" spans="1:16" x14ac:dyDescent="0.3">
      <c r="A5" t="s">
        <v>16</v>
      </c>
      <c r="B5" s="2">
        <v>46029.835443037977</v>
      </c>
      <c r="C5" t="s">
        <v>96</v>
      </c>
      <c r="D5" t="s">
        <v>173</v>
      </c>
      <c r="E5" t="s">
        <v>179</v>
      </c>
      <c r="F5" t="s">
        <v>183</v>
      </c>
      <c r="G5">
        <v>2</v>
      </c>
      <c r="H5">
        <v>3379</v>
      </c>
      <c r="I5">
        <v>5</v>
      </c>
      <c r="J5" t="s">
        <v>184</v>
      </c>
      <c r="K5">
        <v>6420.1</v>
      </c>
      <c r="L5">
        <v>4013.01</v>
      </c>
      <c r="M5">
        <v>2407.09</v>
      </c>
      <c r="N5" t="str">
        <f t="shared" si="0"/>
        <v>Jan</v>
      </c>
      <c r="O5">
        <f t="shared" si="1"/>
        <v>1</v>
      </c>
      <c r="P5" s="4">
        <f t="shared" si="2"/>
        <v>2.6671624243381014</v>
      </c>
    </row>
    <row r="6" spans="1:16" x14ac:dyDescent="0.3">
      <c r="A6" t="s">
        <v>17</v>
      </c>
      <c r="B6" s="2">
        <v>46032.113924050624</v>
      </c>
      <c r="C6" t="s">
        <v>97</v>
      </c>
      <c r="D6" t="s">
        <v>173</v>
      </c>
      <c r="E6" t="s">
        <v>179</v>
      </c>
      <c r="F6" t="s">
        <v>180</v>
      </c>
      <c r="G6">
        <v>4</v>
      </c>
      <c r="H6">
        <v>3197</v>
      </c>
      <c r="I6">
        <v>10</v>
      </c>
      <c r="J6" t="s">
        <v>185</v>
      </c>
      <c r="K6">
        <v>11509.2</v>
      </c>
      <c r="L6">
        <v>9351.57</v>
      </c>
      <c r="M6">
        <v>2157.63</v>
      </c>
      <c r="N6" t="str">
        <f t="shared" si="0"/>
        <v>Jan</v>
      </c>
      <c r="O6">
        <f t="shared" si="1"/>
        <v>1</v>
      </c>
      <c r="P6" s="4">
        <f t="shared" si="2"/>
        <v>5.3341861208826353</v>
      </c>
    </row>
    <row r="7" spans="1:16" x14ac:dyDescent="0.3">
      <c r="A7" t="s">
        <v>18</v>
      </c>
      <c r="B7" s="2">
        <v>46034.392405063278</v>
      </c>
      <c r="C7" t="s">
        <v>98</v>
      </c>
      <c r="D7" t="s">
        <v>175</v>
      </c>
      <c r="E7" t="s">
        <v>179</v>
      </c>
      <c r="F7" t="s">
        <v>180</v>
      </c>
      <c r="G7">
        <v>5</v>
      </c>
      <c r="H7">
        <v>1276</v>
      </c>
      <c r="I7">
        <v>5</v>
      </c>
      <c r="J7" t="s">
        <v>186</v>
      </c>
      <c r="K7">
        <v>6061</v>
      </c>
      <c r="L7">
        <v>4771.2</v>
      </c>
      <c r="M7">
        <v>1289.8</v>
      </c>
      <c r="N7" t="str">
        <f t="shared" si="0"/>
        <v>Jan</v>
      </c>
      <c r="O7">
        <f t="shared" si="1"/>
        <v>1</v>
      </c>
      <c r="P7" s="4">
        <f t="shared" si="2"/>
        <v>4.6991781671576991</v>
      </c>
    </row>
    <row r="8" spans="1:16" x14ac:dyDescent="0.3">
      <c r="A8" t="s">
        <v>19</v>
      </c>
      <c r="B8" s="2">
        <v>46036.670886075954</v>
      </c>
      <c r="C8" t="s">
        <v>99</v>
      </c>
      <c r="D8" t="s">
        <v>174</v>
      </c>
      <c r="E8" t="s">
        <v>179</v>
      </c>
      <c r="F8" t="s">
        <v>180</v>
      </c>
      <c r="G8">
        <v>1</v>
      </c>
      <c r="H8">
        <v>2503</v>
      </c>
      <c r="I8">
        <v>0</v>
      </c>
      <c r="J8" t="s">
        <v>185</v>
      </c>
      <c r="K8">
        <v>2503</v>
      </c>
      <c r="L8">
        <v>1900.26</v>
      </c>
      <c r="M8">
        <v>602.74</v>
      </c>
      <c r="N8" t="str">
        <f t="shared" si="0"/>
        <v>Jan</v>
      </c>
      <c r="O8">
        <f t="shared" si="1"/>
        <v>1</v>
      </c>
      <c r="P8" s="4">
        <f t="shared" si="2"/>
        <v>4.1527026578624282</v>
      </c>
    </row>
    <row r="9" spans="1:16" x14ac:dyDescent="0.3">
      <c r="A9" t="s">
        <v>20</v>
      </c>
      <c r="B9" s="2">
        <v>46038.9493670886</v>
      </c>
      <c r="C9" t="s">
        <v>100</v>
      </c>
      <c r="D9" t="s">
        <v>174</v>
      </c>
      <c r="E9" t="s">
        <v>179</v>
      </c>
      <c r="F9" t="s">
        <v>181</v>
      </c>
      <c r="G9">
        <v>1</v>
      </c>
      <c r="H9">
        <v>2391</v>
      </c>
      <c r="I9">
        <v>15</v>
      </c>
      <c r="J9" t="s">
        <v>186</v>
      </c>
      <c r="K9">
        <v>2032.35</v>
      </c>
      <c r="L9">
        <v>1426.28</v>
      </c>
      <c r="M9">
        <v>606.07000000000005</v>
      </c>
      <c r="N9" t="str">
        <f t="shared" si="0"/>
        <v>Jan</v>
      </c>
      <c r="O9">
        <f t="shared" si="1"/>
        <v>1</v>
      </c>
      <c r="P9" s="4">
        <f t="shared" si="2"/>
        <v>3.3533255234543859</v>
      </c>
    </row>
    <row r="10" spans="1:16" x14ac:dyDescent="0.3">
      <c r="A10" t="s">
        <v>21</v>
      </c>
      <c r="B10" s="2">
        <v>46041.227848101262</v>
      </c>
      <c r="C10" t="s">
        <v>101</v>
      </c>
      <c r="D10" t="s">
        <v>174</v>
      </c>
      <c r="E10" t="s">
        <v>179</v>
      </c>
      <c r="F10" t="s">
        <v>180</v>
      </c>
      <c r="G10">
        <v>3</v>
      </c>
      <c r="H10">
        <v>2134</v>
      </c>
      <c r="I10">
        <v>0</v>
      </c>
      <c r="J10" t="s">
        <v>187</v>
      </c>
      <c r="K10">
        <v>6402</v>
      </c>
      <c r="L10">
        <v>4191.13</v>
      </c>
      <c r="M10">
        <v>2210.87</v>
      </c>
      <c r="N10" t="str">
        <f t="shared" si="0"/>
        <v>Jan</v>
      </c>
      <c r="O10">
        <f t="shared" si="1"/>
        <v>1</v>
      </c>
      <c r="P10" s="4">
        <f t="shared" si="2"/>
        <v>2.8956926458814856</v>
      </c>
    </row>
    <row r="11" spans="1:16" x14ac:dyDescent="0.3">
      <c r="A11" t="s">
        <v>22</v>
      </c>
      <c r="B11" s="2">
        <v>46043.506329113923</v>
      </c>
      <c r="C11" t="s">
        <v>102</v>
      </c>
      <c r="D11" t="s">
        <v>173</v>
      </c>
      <c r="E11" t="s">
        <v>179</v>
      </c>
      <c r="F11" t="s">
        <v>182</v>
      </c>
      <c r="G11">
        <v>2</v>
      </c>
      <c r="H11">
        <v>2994</v>
      </c>
      <c r="I11">
        <v>15</v>
      </c>
      <c r="J11" t="s">
        <v>184</v>
      </c>
      <c r="K11">
        <v>5089.8</v>
      </c>
      <c r="L11">
        <v>3314.92</v>
      </c>
      <c r="M11">
        <v>1774.88</v>
      </c>
      <c r="N11" t="str">
        <f t="shared" si="0"/>
        <v>Jan</v>
      </c>
      <c r="O11">
        <f t="shared" si="1"/>
        <v>1</v>
      </c>
      <c r="P11" s="4">
        <f t="shared" si="2"/>
        <v>2.8676868295321372</v>
      </c>
    </row>
    <row r="12" spans="1:16" x14ac:dyDescent="0.3">
      <c r="A12" t="s">
        <v>23</v>
      </c>
      <c r="B12" s="2">
        <v>46045.784810126577</v>
      </c>
      <c r="C12" t="s">
        <v>103</v>
      </c>
      <c r="D12" t="s">
        <v>172</v>
      </c>
      <c r="E12" t="s">
        <v>178</v>
      </c>
      <c r="F12" t="s">
        <v>180</v>
      </c>
      <c r="G12">
        <v>5</v>
      </c>
      <c r="H12">
        <v>14200</v>
      </c>
      <c r="I12">
        <v>5</v>
      </c>
      <c r="J12" t="s">
        <v>184</v>
      </c>
      <c r="K12">
        <v>67450</v>
      </c>
      <c r="L12">
        <v>45194.78</v>
      </c>
      <c r="M12">
        <v>22255.22</v>
      </c>
      <c r="N12" t="str">
        <f t="shared" si="0"/>
        <v>Jan</v>
      </c>
      <c r="O12">
        <f t="shared" si="1"/>
        <v>1</v>
      </c>
      <c r="P12" s="4">
        <f t="shared" si="2"/>
        <v>3.030749639859772</v>
      </c>
    </row>
    <row r="13" spans="1:16" x14ac:dyDescent="0.3">
      <c r="A13" t="s">
        <v>24</v>
      </c>
      <c r="B13" s="2">
        <v>46048.063291139239</v>
      </c>
      <c r="C13" t="s">
        <v>104</v>
      </c>
      <c r="D13" t="s">
        <v>174</v>
      </c>
      <c r="E13" t="s">
        <v>179</v>
      </c>
      <c r="F13" t="s">
        <v>182</v>
      </c>
      <c r="G13">
        <v>4</v>
      </c>
      <c r="H13">
        <v>2639</v>
      </c>
      <c r="I13">
        <v>10</v>
      </c>
      <c r="J13" t="s">
        <v>188</v>
      </c>
      <c r="K13">
        <v>9500.4</v>
      </c>
      <c r="L13">
        <v>6933.82</v>
      </c>
      <c r="M13">
        <v>2566.58</v>
      </c>
      <c r="N13" t="str">
        <f t="shared" si="0"/>
        <v>Jan</v>
      </c>
      <c r="O13">
        <f t="shared" si="1"/>
        <v>1</v>
      </c>
      <c r="P13" s="4">
        <f t="shared" si="2"/>
        <v>3.7015795338543898</v>
      </c>
    </row>
    <row r="14" spans="1:16" x14ac:dyDescent="0.3">
      <c r="A14" t="s">
        <v>25</v>
      </c>
      <c r="B14" s="2">
        <v>46050.3417721519</v>
      </c>
      <c r="C14" t="s">
        <v>105</v>
      </c>
      <c r="D14" t="s">
        <v>173</v>
      </c>
      <c r="E14" t="s">
        <v>179</v>
      </c>
      <c r="F14" t="s">
        <v>182</v>
      </c>
      <c r="G14">
        <v>2</v>
      </c>
      <c r="H14">
        <v>2832</v>
      </c>
      <c r="I14">
        <v>0</v>
      </c>
      <c r="J14" t="s">
        <v>186</v>
      </c>
      <c r="K14">
        <v>5664</v>
      </c>
      <c r="L14">
        <v>4321.17</v>
      </c>
      <c r="M14">
        <v>1342.83</v>
      </c>
      <c r="N14" t="str">
        <f t="shared" si="0"/>
        <v>Jan</v>
      </c>
      <c r="O14">
        <f t="shared" si="1"/>
        <v>1</v>
      </c>
      <c r="P14" s="4">
        <f t="shared" si="2"/>
        <v>4.2179575970152587</v>
      </c>
    </row>
    <row r="15" spans="1:16" x14ac:dyDescent="0.3">
      <c r="A15" t="s">
        <v>26</v>
      </c>
      <c r="B15" s="2">
        <v>46052.620253164547</v>
      </c>
      <c r="C15" t="s">
        <v>106</v>
      </c>
      <c r="D15" t="s">
        <v>175</v>
      </c>
      <c r="E15" t="s">
        <v>179</v>
      </c>
      <c r="F15" t="s">
        <v>182</v>
      </c>
      <c r="G15">
        <v>4</v>
      </c>
      <c r="H15">
        <v>1687</v>
      </c>
      <c r="I15">
        <v>15</v>
      </c>
      <c r="J15" t="s">
        <v>188</v>
      </c>
      <c r="K15">
        <v>5735.8</v>
      </c>
      <c r="L15">
        <v>4313.55</v>
      </c>
      <c r="M15">
        <v>1422.25</v>
      </c>
      <c r="N15" t="str">
        <f t="shared" si="0"/>
        <v>Jan</v>
      </c>
      <c r="O15">
        <f t="shared" si="1"/>
        <v>1</v>
      </c>
      <c r="P15" s="4">
        <f t="shared" si="2"/>
        <v>4.0329056073123573</v>
      </c>
    </row>
    <row r="16" spans="1:16" x14ac:dyDescent="0.3">
      <c r="A16" t="s">
        <v>27</v>
      </c>
      <c r="B16" s="2">
        <v>46054.898734177208</v>
      </c>
      <c r="C16" t="s">
        <v>107</v>
      </c>
      <c r="D16" t="s">
        <v>172</v>
      </c>
      <c r="E16" t="s">
        <v>178</v>
      </c>
      <c r="F16" t="s">
        <v>181</v>
      </c>
      <c r="G16">
        <v>3</v>
      </c>
      <c r="H16">
        <v>14259</v>
      </c>
      <c r="I16">
        <v>0</v>
      </c>
      <c r="J16" t="s">
        <v>188</v>
      </c>
      <c r="K16">
        <v>42777</v>
      </c>
      <c r="L16">
        <v>28916.69</v>
      </c>
      <c r="M16">
        <v>13860.31</v>
      </c>
      <c r="N16" t="str">
        <f t="shared" si="0"/>
        <v>Feb</v>
      </c>
      <c r="O16">
        <f t="shared" si="1"/>
        <v>2</v>
      </c>
      <c r="P16" s="4">
        <f t="shared" si="2"/>
        <v>3.0862946066862862</v>
      </c>
    </row>
    <row r="17" spans="1:16" x14ac:dyDescent="0.3">
      <c r="A17" t="s">
        <v>28</v>
      </c>
      <c r="B17" s="2">
        <v>46057.177215189869</v>
      </c>
      <c r="C17" t="s">
        <v>108</v>
      </c>
      <c r="D17" t="s">
        <v>175</v>
      </c>
      <c r="E17" t="s">
        <v>179</v>
      </c>
      <c r="F17" t="s">
        <v>181</v>
      </c>
      <c r="G17">
        <v>3</v>
      </c>
      <c r="H17">
        <v>1469</v>
      </c>
      <c r="I17">
        <v>15</v>
      </c>
      <c r="J17" t="s">
        <v>185</v>
      </c>
      <c r="K17">
        <v>3745.95</v>
      </c>
      <c r="L17">
        <v>3037.86</v>
      </c>
      <c r="M17">
        <v>708.09</v>
      </c>
      <c r="N17" t="str">
        <f t="shared" si="0"/>
        <v>Feb</v>
      </c>
      <c r="O17">
        <f t="shared" si="1"/>
        <v>2</v>
      </c>
      <c r="P17" s="4">
        <f t="shared" si="2"/>
        <v>5.2902173452527217</v>
      </c>
    </row>
    <row r="18" spans="1:16" x14ac:dyDescent="0.3">
      <c r="A18" t="s">
        <v>29</v>
      </c>
      <c r="B18" s="2">
        <v>46059.455696202524</v>
      </c>
      <c r="C18" t="s">
        <v>109</v>
      </c>
      <c r="D18" t="s">
        <v>172</v>
      </c>
      <c r="E18" t="s">
        <v>178</v>
      </c>
      <c r="F18" t="s">
        <v>181</v>
      </c>
      <c r="G18">
        <v>1</v>
      </c>
      <c r="H18">
        <v>14174</v>
      </c>
      <c r="I18">
        <v>0</v>
      </c>
      <c r="J18" t="s">
        <v>188</v>
      </c>
      <c r="K18">
        <v>14174</v>
      </c>
      <c r="L18">
        <v>10879.67</v>
      </c>
      <c r="M18">
        <v>3294.33</v>
      </c>
      <c r="N18" t="str">
        <f t="shared" si="0"/>
        <v>Feb</v>
      </c>
      <c r="O18">
        <f t="shared" si="1"/>
        <v>2</v>
      </c>
      <c r="P18" s="4">
        <f t="shared" si="2"/>
        <v>4.3025440681413221</v>
      </c>
    </row>
    <row r="19" spans="1:16" x14ac:dyDescent="0.3">
      <c r="A19" t="s">
        <v>30</v>
      </c>
      <c r="B19" s="2">
        <v>46061.734177215178</v>
      </c>
      <c r="C19" t="s">
        <v>110</v>
      </c>
      <c r="D19" t="s">
        <v>173</v>
      </c>
      <c r="E19" t="s">
        <v>179</v>
      </c>
      <c r="F19" t="s">
        <v>180</v>
      </c>
      <c r="G19">
        <v>5</v>
      </c>
      <c r="H19">
        <v>2821</v>
      </c>
      <c r="I19">
        <v>15</v>
      </c>
      <c r="J19" t="s">
        <v>185</v>
      </c>
      <c r="K19">
        <v>11989.25</v>
      </c>
      <c r="L19">
        <v>8762.59</v>
      </c>
      <c r="M19">
        <v>3226.66</v>
      </c>
      <c r="N19" t="str">
        <f t="shared" si="0"/>
        <v>Feb</v>
      </c>
      <c r="O19">
        <f t="shared" si="1"/>
        <v>2</v>
      </c>
      <c r="P19" s="4">
        <f t="shared" si="2"/>
        <v>3.7156843299263018</v>
      </c>
    </row>
    <row r="20" spans="1:16" x14ac:dyDescent="0.3">
      <c r="A20" t="s">
        <v>31</v>
      </c>
      <c r="B20" s="2">
        <v>46064.012658227854</v>
      </c>
      <c r="C20" t="s">
        <v>111</v>
      </c>
      <c r="D20" t="s">
        <v>176</v>
      </c>
      <c r="E20" t="s">
        <v>178</v>
      </c>
      <c r="F20" t="s">
        <v>182</v>
      </c>
      <c r="G20">
        <v>4</v>
      </c>
      <c r="H20">
        <v>55469</v>
      </c>
      <c r="I20">
        <v>15</v>
      </c>
      <c r="J20" t="s">
        <v>185</v>
      </c>
      <c r="K20">
        <v>188594.6</v>
      </c>
      <c r="L20">
        <v>140002.1</v>
      </c>
      <c r="M20">
        <v>48592.5</v>
      </c>
      <c r="N20" t="str">
        <f t="shared" si="0"/>
        <v>Feb</v>
      </c>
      <c r="O20">
        <f t="shared" si="1"/>
        <v>2</v>
      </c>
      <c r="P20" s="4">
        <f t="shared" si="2"/>
        <v>3.8811462674281012</v>
      </c>
    </row>
    <row r="21" spans="1:16" x14ac:dyDescent="0.3">
      <c r="A21" t="s">
        <v>32</v>
      </c>
      <c r="B21" s="2">
        <v>46066.2911392405</v>
      </c>
      <c r="C21" t="s">
        <v>112</v>
      </c>
      <c r="D21" t="s">
        <v>172</v>
      </c>
      <c r="E21" t="s">
        <v>178</v>
      </c>
      <c r="F21" t="s">
        <v>181</v>
      </c>
      <c r="G21">
        <v>2</v>
      </c>
      <c r="H21">
        <v>13837</v>
      </c>
      <c r="I21">
        <v>5</v>
      </c>
      <c r="J21" t="s">
        <v>188</v>
      </c>
      <c r="K21">
        <v>26290.3</v>
      </c>
      <c r="L21">
        <v>18506.27</v>
      </c>
      <c r="M21">
        <v>7784.03</v>
      </c>
      <c r="N21" t="str">
        <f t="shared" si="0"/>
        <v>Feb</v>
      </c>
      <c r="O21">
        <f t="shared" si="1"/>
        <v>2</v>
      </c>
      <c r="P21" s="4">
        <f t="shared" si="2"/>
        <v>3.3774664280584736</v>
      </c>
    </row>
    <row r="22" spans="1:16" x14ac:dyDescent="0.3">
      <c r="A22" t="s">
        <v>33</v>
      </c>
      <c r="B22" s="2">
        <v>46068.569620253162</v>
      </c>
      <c r="C22" t="s">
        <v>113</v>
      </c>
      <c r="D22" t="s">
        <v>175</v>
      </c>
      <c r="E22" t="s">
        <v>179</v>
      </c>
      <c r="F22" t="s">
        <v>181</v>
      </c>
      <c r="G22">
        <v>3</v>
      </c>
      <c r="H22">
        <v>1229</v>
      </c>
      <c r="I22">
        <v>15</v>
      </c>
      <c r="J22" t="s">
        <v>186</v>
      </c>
      <c r="K22">
        <v>3133.95</v>
      </c>
      <c r="L22">
        <v>2098.3200000000002</v>
      </c>
      <c r="M22">
        <v>1035.6300000000001</v>
      </c>
      <c r="N22" t="str">
        <f t="shared" si="0"/>
        <v>Feb</v>
      </c>
      <c r="O22">
        <f t="shared" si="1"/>
        <v>2</v>
      </c>
      <c r="P22" s="4">
        <f t="shared" si="2"/>
        <v>3.0261290229135884</v>
      </c>
    </row>
    <row r="23" spans="1:16" x14ac:dyDescent="0.3">
      <c r="A23" t="s">
        <v>34</v>
      </c>
      <c r="B23" s="2">
        <v>46070.848101265823</v>
      </c>
      <c r="C23" t="s">
        <v>114</v>
      </c>
      <c r="D23" t="s">
        <v>173</v>
      </c>
      <c r="E23" t="s">
        <v>179</v>
      </c>
      <c r="F23" t="s">
        <v>180</v>
      </c>
      <c r="G23">
        <v>1</v>
      </c>
      <c r="H23">
        <v>3164</v>
      </c>
      <c r="I23">
        <v>5</v>
      </c>
      <c r="J23" t="s">
        <v>186</v>
      </c>
      <c r="K23">
        <v>3005.8</v>
      </c>
      <c r="L23">
        <v>2077.59</v>
      </c>
      <c r="M23">
        <v>928.21</v>
      </c>
      <c r="N23" t="str">
        <f t="shared" si="0"/>
        <v>Feb</v>
      </c>
      <c r="O23">
        <f t="shared" si="1"/>
        <v>2</v>
      </c>
      <c r="P23" s="4">
        <f t="shared" si="2"/>
        <v>3.2382758212042533</v>
      </c>
    </row>
    <row r="24" spans="1:16" x14ac:dyDescent="0.3">
      <c r="A24" t="s">
        <v>35</v>
      </c>
      <c r="B24" s="2">
        <v>46073.12658227847</v>
      </c>
      <c r="C24" t="s">
        <v>115</v>
      </c>
      <c r="D24" t="s">
        <v>177</v>
      </c>
      <c r="E24" t="s">
        <v>178</v>
      </c>
      <c r="F24" t="s">
        <v>181</v>
      </c>
      <c r="G24">
        <v>1</v>
      </c>
      <c r="H24">
        <v>14362</v>
      </c>
      <c r="I24">
        <v>15</v>
      </c>
      <c r="J24" t="s">
        <v>186</v>
      </c>
      <c r="K24">
        <v>12207.7</v>
      </c>
      <c r="L24">
        <v>9419.09</v>
      </c>
      <c r="M24">
        <v>2788.61</v>
      </c>
      <c r="N24" t="str">
        <f t="shared" si="0"/>
        <v>Feb</v>
      </c>
      <c r="O24">
        <f t="shared" si="1"/>
        <v>2</v>
      </c>
      <c r="P24" s="4">
        <f t="shared" si="2"/>
        <v>4.3777007182789989</v>
      </c>
    </row>
    <row r="25" spans="1:16" x14ac:dyDescent="0.3">
      <c r="A25" t="s">
        <v>36</v>
      </c>
      <c r="B25" s="2">
        <v>46075.405063291131</v>
      </c>
      <c r="C25" t="s">
        <v>116</v>
      </c>
      <c r="D25" t="s">
        <v>176</v>
      </c>
      <c r="E25" t="s">
        <v>178</v>
      </c>
      <c r="F25" t="s">
        <v>180</v>
      </c>
      <c r="G25">
        <v>4</v>
      </c>
      <c r="H25">
        <v>55237</v>
      </c>
      <c r="I25">
        <v>10</v>
      </c>
      <c r="J25" t="s">
        <v>186</v>
      </c>
      <c r="K25">
        <v>198853.2</v>
      </c>
      <c r="L25">
        <v>123861.42</v>
      </c>
      <c r="M25">
        <v>74991.78</v>
      </c>
      <c r="N25" t="str">
        <f t="shared" si="0"/>
        <v>Feb</v>
      </c>
      <c r="O25">
        <f t="shared" si="1"/>
        <v>2</v>
      </c>
      <c r="P25" s="4">
        <f t="shared" si="2"/>
        <v>2.6516666226618439</v>
      </c>
    </row>
    <row r="26" spans="1:16" x14ac:dyDescent="0.3">
      <c r="A26" t="s">
        <v>37</v>
      </c>
      <c r="B26" s="2">
        <v>46077.6835443038</v>
      </c>
      <c r="C26" t="s">
        <v>117</v>
      </c>
      <c r="D26" t="s">
        <v>176</v>
      </c>
      <c r="E26" t="s">
        <v>178</v>
      </c>
      <c r="F26" t="s">
        <v>183</v>
      </c>
      <c r="G26">
        <v>3</v>
      </c>
      <c r="H26">
        <v>55082</v>
      </c>
      <c r="I26">
        <v>10</v>
      </c>
      <c r="J26" t="s">
        <v>186</v>
      </c>
      <c r="K26">
        <v>148721.4</v>
      </c>
      <c r="L26">
        <v>95659.77</v>
      </c>
      <c r="M26">
        <v>53061.63</v>
      </c>
      <c r="N26" t="str">
        <f t="shared" si="0"/>
        <v>Feb</v>
      </c>
      <c r="O26">
        <f t="shared" si="1"/>
        <v>2</v>
      </c>
      <c r="P26" s="4">
        <f t="shared" si="2"/>
        <v>2.8028049647174429</v>
      </c>
    </row>
    <row r="27" spans="1:16" x14ac:dyDescent="0.3">
      <c r="A27" t="s">
        <v>38</v>
      </c>
      <c r="B27" s="2">
        <v>46079.962025316447</v>
      </c>
      <c r="C27" t="s">
        <v>118</v>
      </c>
      <c r="D27" t="s">
        <v>174</v>
      </c>
      <c r="E27" t="s">
        <v>179</v>
      </c>
      <c r="F27" t="s">
        <v>181</v>
      </c>
      <c r="G27">
        <v>5</v>
      </c>
      <c r="H27">
        <v>2026</v>
      </c>
      <c r="I27">
        <v>10</v>
      </c>
      <c r="J27" t="s">
        <v>188</v>
      </c>
      <c r="K27">
        <v>9117</v>
      </c>
      <c r="L27">
        <v>5736.42</v>
      </c>
      <c r="M27">
        <v>3380.58</v>
      </c>
      <c r="N27" t="str">
        <f t="shared" si="0"/>
        <v>Feb</v>
      </c>
      <c r="O27">
        <f t="shared" si="1"/>
        <v>2</v>
      </c>
      <c r="P27" s="4">
        <f t="shared" si="2"/>
        <v>2.6968745008253023</v>
      </c>
    </row>
    <row r="28" spans="1:16" x14ac:dyDescent="0.3">
      <c r="A28" t="s">
        <v>39</v>
      </c>
      <c r="B28" s="2">
        <v>46082.240506329108</v>
      </c>
      <c r="C28" t="s">
        <v>119</v>
      </c>
      <c r="D28" t="s">
        <v>174</v>
      </c>
      <c r="E28" t="s">
        <v>179</v>
      </c>
      <c r="F28" t="s">
        <v>183</v>
      </c>
      <c r="G28">
        <v>3</v>
      </c>
      <c r="H28">
        <v>2225</v>
      </c>
      <c r="I28">
        <v>15</v>
      </c>
      <c r="J28" t="s">
        <v>188</v>
      </c>
      <c r="K28">
        <v>5673.75</v>
      </c>
      <c r="L28">
        <v>3563.94</v>
      </c>
      <c r="M28">
        <v>2109.81</v>
      </c>
      <c r="N28" t="str">
        <f t="shared" si="0"/>
        <v>Mar</v>
      </c>
      <c r="O28">
        <f t="shared" si="1"/>
        <v>3</v>
      </c>
      <c r="P28" s="4">
        <f t="shared" si="2"/>
        <v>2.6892232001933825</v>
      </c>
    </row>
    <row r="29" spans="1:16" x14ac:dyDescent="0.3">
      <c r="A29" t="s">
        <v>40</v>
      </c>
      <c r="B29" s="2">
        <v>46084.518987341769</v>
      </c>
      <c r="C29" t="s">
        <v>120</v>
      </c>
      <c r="D29" t="s">
        <v>175</v>
      </c>
      <c r="E29" t="s">
        <v>179</v>
      </c>
      <c r="F29" t="s">
        <v>180</v>
      </c>
      <c r="G29">
        <v>4</v>
      </c>
      <c r="H29">
        <v>1276</v>
      </c>
      <c r="I29">
        <v>5</v>
      </c>
      <c r="J29" t="s">
        <v>184</v>
      </c>
      <c r="K29">
        <v>4848.8</v>
      </c>
      <c r="L29">
        <v>3835.85</v>
      </c>
      <c r="M29">
        <v>1012.95</v>
      </c>
      <c r="N29" t="str">
        <f t="shared" si="0"/>
        <v>Mar</v>
      </c>
      <c r="O29">
        <f t="shared" si="1"/>
        <v>3</v>
      </c>
      <c r="P29" s="4">
        <f t="shared" si="2"/>
        <v>4.7868108001382099</v>
      </c>
    </row>
    <row r="30" spans="1:16" x14ac:dyDescent="0.3">
      <c r="A30" t="s">
        <v>41</v>
      </c>
      <c r="B30" s="2">
        <v>46086.797468354423</v>
      </c>
      <c r="C30" t="s">
        <v>121</v>
      </c>
      <c r="D30" t="s">
        <v>172</v>
      </c>
      <c r="E30" t="s">
        <v>178</v>
      </c>
      <c r="F30" t="s">
        <v>182</v>
      </c>
      <c r="G30">
        <v>4</v>
      </c>
      <c r="H30">
        <v>14408</v>
      </c>
      <c r="I30">
        <v>5</v>
      </c>
      <c r="J30" t="s">
        <v>186</v>
      </c>
      <c r="K30">
        <v>54750.400000000001</v>
      </c>
      <c r="L30">
        <v>41650.36</v>
      </c>
      <c r="M30">
        <v>13100.04</v>
      </c>
      <c r="N30" t="str">
        <f t="shared" si="0"/>
        <v>Mar</v>
      </c>
      <c r="O30">
        <f t="shared" si="1"/>
        <v>3</v>
      </c>
      <c r="P30" s="4">
        <f t="shared" si="2"/>
        <v>4.1794070857798902</v>
      </c>
    </row>
    <row r="31" spans="1:16" x14ac:dyDescent="0.3">
      <c r="A31" t="s">
        <v>42</v>
      </c>
      <c r="B31" s="2">
        <v>46089.075949367078</v>
      </c>
      <c r="C31" t="s">
        <v>122</v>
      </c>
      <c r="D31" t="s">
        <v>172</v>
      </c>
      <c r="E31" t="s">
        <v>178</v>
      </c>
      <c r="F31" t="s">
        <v>181</v>
      </c>
      <c r="G31">
        <v>3</v>
      </c>
      <c r="H31">
        <v>14083</v>
      </c>
      <c r="I31">
        <v>15</v>
      </c>
      <c r="J31" t="s">
        <v>188</v>
      </c>
      <c r="K31">
        <v>35911.65</v>
      </c>
      <c r="L31">
        <v>25670.9</v>
      </c>
      <c r="M31">
        <v>10240.75</v>
      </c>
      <c r="N31" t="str">
        <f t="shared" si="0"/>
        <v>Mar</v>
      </c>
      <c r="O31">
        <f t="shared" si="1"/>
        <v>3</v>
      </c>
      <c r="P31" s="4">
        <f t="shared" si="2"/>
        <v>3.5067402289871348</v>
      </c>
    </row>
    <row r="32" spans="1:16" x14ac:dyDescent="0.3">
      <c r="A32" t="s">
        <v>43</v>
      </c>
      <c r="B32" s="2">
        <v>46091.354430379753</v>
      </c>
      <c r="C32" t="s">
        <v>123</v>
      </c>
      <c r="D32" t="s">
        <v>174</v>
      </c>
      <c r="E32" t="s">
        <v>179</v>
      </c>
      <c r="F32" t="s">
        <v>180</v>
      </c>
      <c r="G32">
        <v>4</v>
      </c>
      <c r="H32">
        <v>2480</v>
      </c>
      <c r="I32">
        <v>10</v>
      </c>
      <c r="J32" t="s">
        <v>184</v>
      </c>
      <c r="K32">
        <v>8928</v>
      </c>
      <c r="L32">
        <v>5710.05</v>
      </c>
      <c r="M32">
        <v>3217.95</v>
      </c>
      <c r="N32" t="str">
        <f t="shared" si="0"/>
        <v>Mar</v>
      </c>
      <c r="O32">
        <f t="shared" si="1"/>
        <v>3</v>
      </c>
      <c r="P32" s="4">
        <f t="shared" si="2"/>
        <v>2.7744371416585096</v>
      </c>
    </row>
    <row r="33" spans="1:16" x14ac:dyDescent="0.3">
      <c r="A33" t="s">
        <v>44</v>
      </c>
      <c r="B33" s="2">
        <v>46093.632911392393</v>
      </c>
      <c r="C33" t="s">
        <v>124</v>
      </c>
      <c r="D33" t="s">
        <v>172</v>
      </c>
      <c r="E33" t="s">
        <v>178</v>
      </c>
      <c r="F33" t="s">
        <v>182</v>
      </c>
      <c r="G33">
        <v>3</v>
      </c>
      <c r="H33">
        <v>14252</v>
      </c>
      <c r="I33">
        <v>10</v>
      </c>
      <c r="J33" t="s">
        <v>186</v>
      </c>
      <c r="K33">
        <v>38480.400000000001</v>
      </c>
      <c r="L33">
        <v>27641.360000000001</v>
      </c>
      <c r="M33">
        <v>10839.04</v>
      </c>
      <c r="N33" t="str">
        <f t="shared" si="0"/>
        <v>Mar</v>
      </c>
      <c r="O33">
        <f t="shared" si="1"/>
        <v>3</v>
      </c>
      <c r="P33" s="4">
        <f t="shared" si="2"/>
        <v>3.5501668044402455</v>
      </c>
    </row>
    <row r="34" spans="1:16" x14ac:dyDescent="0.3">
      <c r="A34" t="s">
        <v>45</v>
      </c>
      <c r="B34" s="2">
        <v>46095.911392405047</v>
      </c>
      <c r="C34" t="s">
        <v>125</v>
      </c>
      <c r="D34" t="s">
        <v>172</v>
      </c>
      <c r="E34" t="s">
        <v>178</v>
      </c>
      <c r="F34" t="s">
        <v>182</v>
      </c>
      <c r="G34">
        <v>2</v>
      </c>
      <c r="H34">
        <v>14458</v>
      </c>
      <c r="I34">
        <v>5</v>
      </c>
      <c r="J34" t="s">
        <v>185</v>
      </c>
      <c r="K34">
        <v>27470.2</v>
      </c>
      <c r="L34">
        <v>19632.8</v>
      </c>
      <c r="M34">
        <v>7837.4</v>
      </c>
      <c r="N34" t="str">
        <f t="shared" si="0"/>
        <v>Mar</v>
      </c>
      <c r="O34">
        <f t="shared" si="1"/>
        <v>3</v>
      </c>
      <c r="P34" s="4">
        <f t="shared" si="2"/>
        <v>3.5050144180468017</v>
      </c>
    </row>
    <row r="35" spans="1:16" x14ac:dyDescent="0.3">
      <c r="A35" t="s">
        <v>46</v>
      </c>
      <c r="B35" s="2">
        <v>46098.189873417723</v>
      </c>
      <c r="C35" t="s">
        <v>126</v>
      </c>
      <c r="D35" t="s">
        <v>176</v>
      </c>
      <c r="E35" t="s">
        <v>178</v>
      </c>
      <c r="F35" t="s">
        <v>183</v>
      </c>
      <c r="G35">
        <v>3</v>
      </c>
      <c r="H35">
        <v>55315</v>
      </c>
      <c r="I35">
        <v>10</v>
      </c>
      <c r="J35" t="s">
        <v>184</v>
      </c>
      <c r="K35">
        <v>149350.5</v>
      </c>
      <c r="L35">
        <v>97770.87</v>
      </c>
      <c r="M35">
        <v>51579.63</v>
      </c>
      <c r="N35" t="str">
        <f t="shared" si="0"/>
        <v>Mar</v>
      </c>
      <c r="O35">
        <f t="shared" si="1"/>
        <v>3</v>
      </c>
      <c r="P35" s="4">
        <f t="shared" si="2"/>
        <v>2.8955325968798151</v>
      </c>
    </row>
    <row r="36" spans="1:16" x14ac:dyDescent="0.3">
      <c r="A36" t="s">
        <v>47</v>
      </c>
      <c r="B36" s="2">
        <v>46100.46835443037</v>
      </c>
      <c r="C36" t="s">
        <v>127</v>
      </c>
      <c r="D36" t="s">
        <v>174</v>
      </c>
      <c r="E36" t="s">
        <v>179</v>
      </c>
      <c r="F36" t="s">
        <v>180</v>
      </c>
      <c r="G36">
        <v>3</v>
      </c>
      <c r="H36">
        <v>2546</v>
      </c>
      <c r="I36">
        <v>0</v>
      </c>
      <c r="J36" t="s">
        <v>188</v>
      </c>
      <c r="K36">
        <v>7638</v>
      </c>
      <c r="L36">
        <v>5398.31</v>
      </c>
      <c r="M36">
        <v>2239.69</v>
      </c>
      <c r="N36" t="str">
        <f t="shared" si="0"/>
        <v>Mar</v>
      </c>
      <c r="O36">
        <f t="shared" si="1"/>
        <v>3</v>
      </c>
      <c r="P36" s="4">
        <f t="shared" si="2"/>
        <v>3.4102933888172022</v>
      </c>
    </row>
    <row r="37" spans="1:16" x14ac:dyDescent="0.3">
      <c r="A37" t="s">
        <v>48</v>
      </c>
      <c r="B37" s="2">
        <v>46102.746835443031</v>
      </c>
      <c r="C37" t="s">
        <v>128</v>
      </c>
      <c r="D37" t="s">
        <v>173</v>
      </c>
      <c r="E37" t="s">
        <v>179</v>
      </c>
      <c r="F37" t="s">
        <v>182</v>
      </c>
      <c r="G37">
        <v>4</v>
      </c>
      <c r="H37">
        <v>2991</v>
      </c>
      <c r="I37">
        <v>5</v>
      </c>
      <c r="J37" t="s">
        <v>185</v>
      </c>
      <c r="K37">
        <v>11365.8</v>
      </c>
      <c r="L37">
        <v>7952.66</v>
      </c>
      <c r="M37">
        <v>3413.14</v>
      </c>
      <c r="N37" t="str">
        <f t="shared" si="0"/>
        <v>Mar</v>
      </c>
      <c r="O37">
        <f t="shared" si="1"/>
        <v>3</v>
      </c>
      <c r="P37" s="4">
        <f t="shared" si="2"/>
        <v>3.3300128327581056</v>
      </c>
    </row>
    <row r="38" spans="1:16" x14ac:dyDescent="0.3">
      <c r="A38" t="s">
        <v>49</v>
      </c>
      <c r="B38" s="2">
        <v>46105.025316455693</v>
      </c>
      <c r="C38" t="s">
        <v>129</v>
      </c>
      <c r="D38" t="s">
        <v>174</v>
      </c>
      <c r="E38" t="s">
        <v>179</v>
      </c>
      <c r="F38" t="s">
        <v>181</v>
      </c>
      <c r="G38">
        <v>4</v>
      </c>
      <c r="H38">
        <v>2048</v>
      </c>
      <c r="I38">
        <v>10</v>
      </c>
      <c r="J38" t="s">
        <v>185</v>
      </c>
      <c r="K38">
        <v>7372.8</v>
      </c>
      <c r="L38">
        <v>5479.24</v>
      </c>
      <c r="M38">
        <v>1893.56</v>
      </c>
      <c r="N38" t="str">
        <f t="shared" si="0"/>
        <v>Mar</v>
      </c>
      <c r="O38">
        <f t="shared" si="1"/>
        <v>3</v>
      </c>
      <c r="P38" s="4">
        <f t="shared" si="2"/>
        <v>3.8936183696318047</v>
      </c>
    </row>
    <row r="39" spans="1:16" x14ac:dyDescent="0.3">
      <c r="A39" t="s">
        <v>50</v>
      </c>
      <c r="B39" s="2">
        <v>46107.303797468347</v>
      </c>
      <c r="C39" t="s">
        <v>130</v>
      </c>
      <c r="D39" t="s">
        <v>173</v>
      </c>
      <c r="E39" t="s">
        <v>179</v>
      </c>
      <c r="F39" t="s">
        <v>181</v>
      </c>
      <c r="G39">
        <v>1</v>
      </c>
      <c r="H39">
        <v>3311</v>
      </c>
      <c r="I39">
        <v>5</v>
      </c>
      <c r="J39" t="s">
        <v>185</v>
      </c>
      <c r="K39">
        <v>3145.45</v>
      </c>
      <c r="L39">
        <v>2349.71</v>
      </c>
      <c r="M39">
        <v>795.74</v>
      </c>
      <c r="N39" t="str">
        <f t="shared" si="0"/>
        <v>Mar</v>
      </c>
      <c r="O39">
        <f t="shared" si="1"/>
        <v>3</v>
      </c>
      <c r="P39" s="4">
        <f t="shared" si="2"/>
        <v>3.9528614874205141</v>
      </c>
    </row>
    <row r="40" spans="1:16" x14ac:dyDescent="0.3">
      <c r="A40" t="s">
        <v>51</v>
      </c>
      <c r="B40" s="2">
        <v>46109.582278481008</v>
      </c>
      <c r="C40" t="s">
        <v>131</v>
      </c>
      <c r="D40" t="s">
        <v>176</v>
      </c>
      <c r="E40" t="s">
        <v>178</v>
      </c>
      <c r="F40" t="s">
        <v>183</v>
      </c>
      <c r="G40">
        <v>1</v>
      </c>
      <c r="H40">
        <v>54816</v>
      </c>
      <c r="I40">
        <v>0</v>
      </c>
      <c r="J40" t="s">
        <v>184</v>
      </c>
      <c r="K40">
        <v>54816</v>
      </c>
      <c r="L40">
        <v>34482.6</v>
      </c>
      <c r="M40">
        <v>20333.400000000001</v>
      </c>
      <c r="N40" t="str">
        <f t="shared" si="0"/>
        <v>Mar</v>
      </c>
      <c r="O40">
        <f t="shared" si="1"/>
        <v>3</v>
      </c>
      <c r="P40" s="4">
        <f t="shared" si="2"/>
        <v>2.6958600135737258</v>
      </c>
    </row>
    <row r="41" spans="1:16" x14ac:dyDescent="0.3">
      <c r="A41" t="s">
        <v>52</v>
      </c>
      <c r="B41" s="2">
        <v>46111.860759493669</v>
      </c>
      <c r="C41" t="s">
        <v>132</v>
      </c>
      <c r="D41" t="s">
        <v>175</v>
      </c>
      <c r="E41" t="s">
        <v>179</v>
      </c>
      <c r="F41" t="s">
        <v>182</v>
      </c>
      <c r="G41">
        <v>2</v>
      </c>
      <c r="H41">
        <v>1171</v>
      </c>
      <c r="I41">
        <v>5</v>
      </c>
      <c r="J41" t="s">
        <v>188</v>
      </c>
      <c r="K41">
        <v>2224.9</v>
      </c>
      <c r="L41">
        <v>1546.13</v>
      </c>
      <c r="M41">
        <v>678.77</v>
      </c>
      <c r="N41" t="str">
        <f t="shared" si="0"/>
        <v>Mar</v>
      </c>
      <c r="O41">
        <f t="shared" si="1"/>
        <v>3</v>
      </c>
      <c r="P41" s="4">
        <f t="shared" si="2"/>
        <v>3.2778408002710786</v>
      </c>
    </row>
    <row r="42" spans="1:16" x14ac:dyDescent="0.3">
      <c r="A42" t="s">
        <v>53</v>
      </c>
      <c r="B42" s="2">
        <v>46114.139240506323</v>
      </c>
      <c r="C42" t="s">
        <v>133</v>
      </c>
      <c r="D42" t="s">
        <v>172</v>
      </c>
      <c r="E42" t="s">
        <v>178</v>
      </c>
      <c r="F42" t="s">
        <v>180</v>
      </c>
      <c r="G42">
        <v>1</v>
      </c>
      <c r="H42">
        <v>14019</v>
      </c>
      <c r="I42">
        <v>5</v>
      </c>
      <c r="J42" t="s">
        <v>185</v>
      </c>
      <c r="K42">
        <v>13318.05</v>
      </c>
      <c r="L42">
        <v>9924.24</v>
      </c>
      <c r="M42">
        <v>3393.81</v>
      </c>
      <c r="N42" t="str">
        <f t="shared" si="0"/>
        <v>Apr</v>
      </c>
      <c r="O42">
        <f t="shared" si="1"/>
        <v>4</v>
      </c>
      <c r="P42" s="4">
        <f t="shared" si="2"/>
        <v>3.924217914379414</v>
      </c>
    </row>
    <row r="43" spans="1:16" x14ac:dyDescent="0.3">
      <c r="A43" t="s">
        <v>54</v>
      </c>
      <c r="B43" s="2">
        <v>46116.417721518977</v>
      </c>
      <c r="C43" t="s">
        <v>134</v>
      </c>
      <c r="D43" t="s">
        <v>176</v>
      </c>
      <c r="E43" t="s">
        <v>178</v>
      </c>
      <c r="F43" t="s">
        <v>181</v>
      </c>
      <c r="G43">
        <v>3</v>
      </c>
      <c r="H43">
        <v>54957</v>
      </c>
      <c r="I43">
        <v>5</v>
      </c>
      <c r="J43" t="s">
        <v>186</v>
      </c>
      <c r="K43">
        <v>156627.45000000001</v>
      </c>
      <c r="L43">
        <v>112870.01</v>
      </c>
      <c r="M43">
        <v>43757.440000000002</v>
      </c>
      <c r="N43" t="str">
        <f t="shared" si="0"/>
        <v>Apr</v>
      </c>
      <c r="O43">
        <f t="shared" si="1"/>
        <v>4</v>
      </c>
      <c r="P43" s="4">
        <f t="shared" si="2"/>
        <v>3.5794472894209535</v>
      </c>
    </row>
    <row r="44" spans="1:16" x14ac:dyDescent="0.3">
      <c r="A44" t="s">
        <v>55</v>
      </c>
      <c r="B44" s="2">
        <v>46118.696202531653</v>
      </c>
      <c r="C44" t="s">
        <v>135</v>
      </c>
      <c r="D44" t="s">
        <v>172</v>
      </c>
      <c r="E44" t="s">
        <v>178</v>
      </c>
      <c r="F44" t="s">
        <v>182</v>
      </c>
      <c r="G44">
        <v>4</v>
      </c>
      <c r="H44">
        <v>14276</v>
      </c>
      <c r="I44">
        <v>5</v>
      </c>
      <c r="J44" t="s">
        <v>185</v>
      </c>
      <c r="K44">
        <v>54248.800000000003</v>
      </c>
      <c r="L44">
        <v>42926.97</v>
      </c>
      <c r="M44">
        <v>11321.83</v>
      </c>
      <c r="N44" t="str">
        <f t="shared" si="0"/>
        <v>Apr</v>
      </c>
      <c r="O44">
        <f t="shared" si="1"/>
        <v>4</v>
      </c>
      <c r="P44" s="4">
        <f t="shared" si="2"/>
        <v>4.7915222185812718</v>
      </c>
    </row>
    <row r="45" spans="1:16" x14ac:dyDescent="0.3">
      <c r="A45" t="s">
        <v>56</v>
      </c>
      <c r="B45" s="2">
        <v>46120.974683544293</v>
      </c>
      <c r="C45" t="s">
        <v>136</v>
      </c>
      <c r="D45" t="s">
        <v>175</v>
      </c>
      <c r="E45" t="s">
        <v>179</v>
      </c>
      <c r="F45" t="s">
        <v>182</v>
      </c>
      <c r="G45">
        <v>1</v>
      </c>
      <c r="H45">
        <v>1045</v>
      </c>
      <c r="I45">
        <v>0</v>
      </c>
      <c r="J45" t="s">
        <v>185</v>
      </c>
      <c r="K45">
        <v>1045</v>
      </c>
      <c r="L45">
        <v>785.57</v>
      </c>
      <c r="M45">
        <v>259.43</v>
      </c>
      <c r="N45" t="str">
        <f t="shared" si="0"/>
        <v>Apr</v>
      </c>
      <c r="O45">
        <f t="shared" si="1"/>
        <v>4</v>
      </c>
      <c r="P45" s="4">
        <f t="shared" si="2"/>
        <v>4.0280615194850249</v>
      </c>
    </row>
    <row r="46" spans="1:16" x14ac:dyDescent="0.3">
      <c r="A46" t="s">
        <v>57</v>
      </c>
      <c r="B46" s="2">
        <v>46123.253164556947</v>
      </c>
      <c r="C46" t="s">
        <v>137</v>
      </c>
      <c r="D46" t="s">
        <v>175</v>
      </c>
      <c r="E46" t="s">
        <v>179</v>
      </c>
      <c r="F46" t="s">
        <v>190</v>
      </c>
      <c r="G46">
        <v>1</v>
      </c>
      <c r="H46">
        <v>1372</v>
      </c>
      <c r="I46">
        <v>15</v>
      </c>
      <c r="J46" t="s">
        <v>184</v>
      </c>
      <c r="K46">
        <v>1166.2</v>
      </c>
      <c r="L46">
        <v>761.05</v>
      </c>
      <c r="M46">
        <v>405.15</v>
      </c>
      <c r="N46" t="str">
        <f t="shared" si="0"/>
        <v>Apr</v>
      </c>
      <c r="O46">
        <f t="shared" si="1"/>
        <v>4</v>
      </c>
      <c r="P46" s="4">
        <f t="shared" si="2"/>
        <v>2.8784400839195361</v>
      </c>
    </row>
    <row r="47" spans="1:16" x14ac:dyDescent="0.3">
      <c r="A47" t="s">
        <v>58</v>
      </c>
      <c r="B47" s="2">
        <v>46125.531645569623</v>
      </c>
      <c r="C47" t="s">
        <v>138</v>
      </c>
      <c r="D47" t="s">
        <v>176</v>
      </c>
      <c r="E47" t="s">
        <v>178</v>
      </c>
      <c r="F47" t="s">
        <v>181</v>
      </c>
      <c r="G47">
        <v>2</v>
      </c>
      <c r="H47">
        <v>55317</v>
      </c>
      <c r="I47">
        <v>5</v>
      </c>
      <c r="J47" t="s">
        <v>184</v>
      </c>
      <c r="K47">
        <v>105102.3</v>
      </c>
      <c r="L47">
        <v>66646.81</v>
      </c>
      <c r="M47">
        <v>38455.49</v>
      </c>
      <c r="N47" t="str">
        <f t="shared" si="0"/>
        <v>Apr</v>
      </c>
      <c r="O47">
        <f t="shared" si="1"/>
        <v>4</v>
      </c>
      <c r="P47" s="4">
        <f t="shared" si="2"/>
        <v>2.7330896056713883</v>
      </c>
    </row>
    <row r="48" spans="1:16" x14ac:dyDescent="0.3">
      <c r="A48" t="s">
        <v>59</v>
      </c>
      <c r="B48" s="2">
        <v>46127.81012658227</v>
      </c>
      <c r="C48" t="s">
        <v>139</v>
      </c>
      <c r="D48" t="s">
        <v>175</v>
      </c>
      <c r="E48" t="s">
        <v>179</v>
      </c>
      <c r="F48" t="s">
        <v>181</v>
      </c>
      <c r="G48">
        <v>2</v>
      </c>
      <c r="H48">
        <v>1098</v>
      </c>
      <c r="I48">
        <v>5</v>
      </c>
      <c r="J48" t="s">
        <v>188</v>
      </c>
      <c r="K48">
        <v>2086.1999999999998</v>
      </c>
      <c r="L48">
        <v>1561.49</v>
      </c>
      <c r="M48">
        <v>524.71</v>
      </c>
      <c r="N48" t="str">
        <f t="shared" si="0"/>
        <v>Apr</v>
      </c>
      <c r="O48">
        <f t="shared" si="1"/>
        <v>4</v>
      </c>
      <c r="P48" s="4">
        <f t="shared" si="2"/>
        <v>3.9759105029444828</v>
      </c>
    </row>
    <row r="49" spans="1:16" x14ac:dyDescent="0.3">
      <c r="A49" t="s">
        <v>60</v>
      </c>
      <c r="B49" s="2">
        <v>46130.088607594931</v>
      </c>
      <c r="C49" t="s">
        <v>140</v>
      </c>
      <c r="D49" t="s">
        <v>173</v>
      </c>
      <c r="E49" t="s">
        <v>179</v>
      </c>
      <c r="F49" t="s">
        <v>180</v>
      </c>
      <c r="G49">
        <v>3</v>
      </c>
      <c r="H49">
        <v>2836</v>
      </c>
      <c r="I49">
        <v>10</v>
      </c>
      <c r="J49" t="s">
        <v>186</v>
      </c>
      <c r="K49">
        <v>7657.2</v>
      </c>
      <c r="L49">
        <v>4788.0600000000004</v>
      </c>
      <c r="M49">
        <v>2869.14</v>
      </c>
      <c r="N49" t="str">
        <f t="shared" si="0"/>
        <v>Apr</v>
      </c>
      <c r="O49">
        <f t="shared" si="1"/>
        <v>4</v>
      </c>
      <c r="P49" s="4">
        <f t="shared" si="2"/>
        <v>2.6688136514774463</v>
      </c>
    </row>
    <row r="50" spans="1:16" x14ac:dyDescent="0.3">
      <c r="A50" t="s">
        <v>61</v>
      </c>
      <c r="B50" s="2">
        <v>46132.367088607592</v>
      </c>
      <c r="C50" t="s">
        <v>141</v>
      </c>
      <c r="D50" t="s">
        <v>175</v>
      </c>
      <c r="E50" t="s">
        <v>179</v>
      </c>
      <c r="F50" t="s">
        <v>181</v>
      </c>
      <c r="G50">
        <v>4</v>
      </c>
      <c r="H50">
        <v>1279</v>
      </c>
      <c r="I50">
        <v>5</v>
      </c>
      <c r="J50" t="s">
        <v>184</v>
      </c>
      <c r="K50">
        <v>4860.2</v>
      </c>
      <c r="L50">
        <v>3582.72</v>
      </c>
      <c r="M50">
        <v>1277.48</v>
      </c>
      <c r="N50" t="str">
        <f t="shared" si="0"/>
        <v>Apr</v>
      </c>
      <c r="O50">
        <f t="shared" si="1"/>
        <v>4</v>
      </c>
      <c r="P50" s="4">
        <f t="shared" si="2"/>
        <v>3.8045214015092212</v>
      </c>
    </row>
    <row r="51" spans="1:16" x14ac:dyDescent="0.3">
      <c r="A51" t="s">
        <v>62</v>
      </c>
      <c r="B51" s="2">
        <v>46134.645569620247</v>
      </c>
      <c r="C51" t="s">
        <v>142</v>
      </c>
      <c r="D51" t="s">
        <v>172</v>
      </c>
      <c r="E51" t="s">
        <v>178</v>
      </c>
      <c r="F51" t="s">
        <v>180</v>
      </c>
      <c r="G51">
        <v>2</v>
      </c>
      <c r="H51">
        <v>14148</v>
      </c>
      <c r="I51">
        <v>10</v>
      </c>
      <c r="J51" t="s">
        <v>185</v>
      </c>
      <c r="K51">
        <v>25466.400000000001</v>
      </c>
      <c r="L51">
        <v>20578.02</v>
      </c>
      <c r="M51">
        <v>4888.38</v>
      </c>
      <c r="N51" t="str">
        <f t="shared" si="0"/>
        <v>Apr</v>
      </c>
      <c r="O51">
        <f t="shared" si="1"/>
        <v>4</v>
      </c>
      <c r="P51" s="4">
        <f t="shared" si="2"/>
        <v>5.2095786334122964</v>
      </c>
    </row>
    <row r="52" spans="1:16" x14ac:dyDescent="0.3">
      <c r="A52" t="s">
        <v>63</v>
      </c>
      <c r="B52" s="2">
        <v>46136.924050632908</v>
      </c>
      <c r="C52" t="s">
        <v>143</v>
      </c>
      <c r="D52" t="s">
        <v>172</v>
      </c>
      <c r="E52" t="s">
        <v>178</v>
      </c>
      <c r="F52" t="s">
        <v>181</v>
      </c>
      <c r="G52">
        <v>1</v>
      </c>
      <c r="H52">
        <v>14296</v>
      </c>
      <c r="I52">
        <v>15</v>
      </c>
      <c r="J52" t="s">
        <v>188</v>
      </c>
      <c r="K52">
        <v>12151.6</v>
      </c>
      <c r="L52">
        <v>8932.58</v>
      </c>
      <c r="M52">
        <v>3219.02</v>
      </c>
      <c r="N52" t="str">
        <f t="shared" si="0"/>
        <v>Apr</v>
      </c>
      <c r="O52">
        <f t="shared" si="1"/>
        <v>4</v>
      </c>
      <c r="P52" s="4">
        <f t="shared" si="2"/>
        <v>3.7749377139626348</v>
      </c>
    </row>
    <row r="53" spans="1:16" x14ac:dyDescent="0.3">
      <c r="A53" t="s">
        <v>64</v>
      </c>
      <c r="B53" s="2">
        <v>46139.202531645569</v>
      </c>
      <c r="C53" t="s">
        <v>144</v>
      </c>
      <c r="D53" t="s">
        <v>172</v>
      </c>
      <c r="E53" t="s">
        <v>178</v>
      </c>
      <c r="F53" t="s">
        <v>183</v>
      </c>
      <c r="G53">
        <v>4</v>
      </c>
      <c r="H53">
        <v>14101</v>
      </c>
      <c r="I53">
        <v>0</v>
      </c>
      <c r="J53" t="s">
        <v>185</v>
      </c>
      <c r="K53">
        <v>56404</v>
      </c>
      <c r="L53">
        <v>39349.35</v>
      </c>
      <c r="M53">
        <v>17054.650000000001</v>
      </c>
      <c r="N53" t="str">
        <f t="shared" si="0"/>
        <v>Apr</v>
      </c>
      <c r="O53">
        <f t="shared" si="1"/>
        <v>4</v>
      </c>
      <c r="P53" s="4">
        <f t="shared" si="2"/>
        <v>3.3072505152553702</v>
      </c>
    </row>
    <row r="54" spans="1:16" x14ac:dyDescent="0.3">
      <c r="A54" t="s">
        <v>65</v>
      </c>
      <c r="B54" s="2">
        <v>46141.481012658223</v>
      </c>
      <c r="C54" t="s">
        <v>145</v>
      </c>
      <c r="D54" t="s">
        <v>172</v>
      </c>
      <c r="E54" t="s">
        <v>178</v>
      </c>
      <c r="F54" t="s">
        <v>181</v>
      </c>
      <c r="G54">
        <v>4</v>
      </c>
      <c r="H54">
        <v>13980</v>
      </c>
      <c r="I54">
        <v>0</v>
      </c>
      <c r="J54" t="s">
        <v>185</v>
      </c>
      <c r="K54">
        <v>55920</v>
      </c>
      <c r="L54">
        <v>41864.94</v>
      </c>
      <c r="M54">
        <v>14055.06</v>
      </c>
      <c r="N54" t="str">
        <f t="shared" si="0"/>
        <v>Apr</v>
      </c>
      <c r="O54">
        <f t="shared" si="1"/>
        <v>4</v>
      </c>
      <c r="P54" s="4">
        <f t="shared" si="2"/>
        <v>3.9786382982356532</v>
      </c>
    </row>
    <row r="55" spans="1:16" x14ac:dyDescent="0.3">
      <c r="A55" t="s">
        <v>66</v>
      </c>
      <c r="B55" s="2">
        <v>46143.759493670877</v>
      </c>
      <c r="C55" t="s">
        <v>146</v>
      </c>
      <c r="D55" t="s">
        <v>173</v>
      </c>
      <c r="E55" t="s">
        <v>179</v>
      </c>
      <c r="F55" t="s">
        <v>180</v>
      </c>
      <c r="G55">
        <v>1</v>
      </c>
      <c r="H55">
        <v>3406</v>
      </c>
      <c r="I55">
        <v>15</v>
      </c>
      <c r="J55" t="s">
        <v>184</v>
      </c>
      <c r="K55">
        <v>2895.1</v>
      </c>
      <c r="L55">
        <v>2060.3000000000002</v>
      </c>
      <c r="M55">
        <v>834.8</v>
      </c>
      <c r="N55" t="str">
        <f t="shared" si="0"/>
        <v>May</v>
      </c>
      <c r="O55">
        <f t="shared" si="1"/>
        <v>5</v>
      </c>
      <c r="P55" s="4">
        <f t="shared" si="2"/>
        <v>3.4680162913272641</v>
      </c>
    </row>
    <row r="56" spans="1:16" x14ac:dyDescent="0.3">
      <c r="A56" t="s">
        <v>67</v>
      </c>
      <c r="B56" s="2">
        <v>46146.037974683539</v>
      </c>
      <c r="C56" t="s">
        <v>147</v>
      </c>
      <c r="D56" t="s">
        <v>174</v>
      </c>
      <c r="E56" t="s">
        <v>179</v>
      </c>
      <c r="F56" t="s">
        <v>180</v>
      </c>
      <c r="G56">
        <v>2</v>
      </c>
      <c r="H56">
        <v>2098</v>
      </c>
      <c r="I56">
        <v>0</v>
      </c>
      <c r="J56" t="s">
        <v>188</v>
      </c>
      <c r="K56">
        <v>4196</v>
      </c>
      <c r="L56">
        <v>3059.4</v>
      </c>
      <c r="M56">
        <v>1136.5999999999999</v>
      </c>
      <c r="N56" t="str">
        <f t="shared" si="0"/>
        <v>May</v>
      </c>
      <c r="O56">
        <f t="shared" si="1"/>
        <v>5</v>
      </c>
      <c r="P56" s="4">
        <f t="shared" si="2"/>
        <v>3.6917121238782338</v>
      </c>
    </row>
    <row r="57" spans="1:16" x14ac:dyDescent="0.3">
      <c r="A57" t="s">
        <v>68</v>
      </c>
      <c r="B57" s="2">
        <v>46148.316455696193</v>
      </c>
      <c r="C57" t="s">
        <v>148</v>
      </c>
      <c r="D57" t="s">
        <v>176</v>
      </c>
      <c r="E57" t="s">
        <v>178</v>
      </c>
      <c r="F57" t="s">
        <v>183</v>
      </c>
      <c r="G57">
        <v>1</v>
      </c>
      <c r="H57">
        <v>55499</v>
      </c>
      <c r="I57">
        <v>15</v>
      </c>
      <c r="J57" t="s">
        <v>189</v>
      </c>
      <c r="K57">
        <v>47174.15</v>
      </c>
      <c r="L57">
        <v>38130.53</v>
      </c>
      <c r="M57">
        <v>9043.6200000000008</v>
      </c>
      <c r="N57" t="str">
        <f t="shared" si="0"/>
        <v>May</v>
      </c>
      <c r="O57">
        <f t="shared" si="1"/>
        <v>5</v>
      </c>
      <c r="P57" s="4">
        <f t="shared" si="2"/>
        <v>5.2162906004453964</v>
      </c>
    </row>
    <row r="58" spans="1:16" x14ac:dyDescent="0.3">
      <c r="A58" t="s">
        <v>69</v>
      </c>
      <c r="B58" s="2">
        <v>46150.594936708847</v>
      </c>
      <c r="C58" t="s">
        <v>149</v>
      </c>
      <c r="D58" t="s">
        <v>172</v>
      </c>
      <c r="E58" t="s">
        <v>178</v>
      </c>
      <c r="F58" t="s">
        <v>181</v>
      </c>
      <c r="G58">
        <v>4</v>
      </c>
      <c r="H58">
        <v>13915</v>
      </c>
      <c r="I58">
        <v>15</v>
      </c>
      <c r="J58" t="s">
        <v>186</v>
      </c>
      <c r="K58">
        <v>47311</v>
      </c>
      <c r="L58">
        <v>32986.199999999997</v>
      </c>
      <c r="M58">
        <v>14324.8</v>
      </c>
      <c r="N58" t="str">
        <f t="shared" si="0"/>
        <v>May</v>
      </c>
      <c r="O58">
        <f t="shared" si="1"/>
        <v>5</v>
      </c>
      <c r="P58" s="4">
        <f t="shared" si="2"/>
        <v>3.3027337205406009</v>
      </c>
    </row>
    <row r="59" spans="1:16" x14ac:dyDescent="0.3">
      <c r="A59" t="s">
        <v>70</v>
      </c>
      <c r="B59" s="2">
        <v>46152.873417721523</v>
      </c>
      <c r="C59" t="s">
        <v>150</v>
      </c>
      <c r="D59" t="s">
        <v>175</v>
      </c>
      <c r="E59" t="s">
        <v>179</v>
      </c>
      <c r="F59" t="s">
        <v>181</v>
      </c>
      <c r="G59">
        <v>5</v>
      </c>
      <c r="H59">
        <v>1190</v>
      </c>
      <c r="I59">
        <v>15</v>
      </c>
      <c r="J59" t="s">
        <v>184</v>
      </c>
      <c r="K59">
        <v>5057.5</v>
      </c>
      <c r="L59">
        <v>4107.8900000000003</v>
      </c>
      <c r="M59">
        <v>949.61</v>
      </c>
      <c r="N59" t="str">
        <f t="shared" si="0"/>
        <v>May</v>
      </c>
      <c r="O59">
        <f t="shared" si="1"/>
        <v>5</v>
      </c>
      <c r="P59" s="4">
        <f t="shared" si="2"/>
        <v>5.3258706205705497</v>
      </c>
    </row>
    <row r="60" spans="1:16" x14ac:dyDescent="0.3">
      <c r="A60" t="s">
        <v>71</v>
      </c>
      <c r="B60" s="2">
        <v>46155.15189873417</v>
      </c>
      <c r="C60" t="s">
        <v>151</v>
      </c>
      <c r="D60" t="s">
        <v>172</v>
      </c>
      <c r="E60" t="s">
        <v>178</v>
      </c>
      <c r="F60" t="s">
        <v>183</v>
      </c>
      <c r="G60">
        <v>5</v>
      </c>
      <c r="H60">
        <v>14052</v>
      </c>
      <c r="I60">
        <v>0</v>
      </c>
      <c r="J60" t="s">
        <v>184</v>
      </c>
      <c r="K60">
        <v>70260</v>
      </c>
      <c r="L60">
        <v>56283.19</v>
      </c>
      <c r="M60">
        <v>13976.81</v>
      </c>
      <c r="N60" t="str">
        <f t="shared" si="0"/>
        <v>May</v>
      </c>
      <c r="O60">
        <f t="shared" si="1"/>
        <v>5</v>
      </c>
      <c r="P60" s="4">
        <f t="shared" si="2"/>
        <v>5.0268981262534158</v>
      </c>
    </row>
    <row r="61" spans="1:16" x14ac:dyDescent="0.3">
      <c r="A61" t="s">
        <v>72</v>
      </c>
      <c r="B61" s="2">
        <v>46157.430379746831</v>
      </c>
      <c r="C61" t="s">
        <v>152</v>
      </c>
      <c r="D61" t="s">
        <v>175</v>
      </c>
      <c r="E61" t="s">
        <v>179</v>
      </c>
      <c r="F61" t="s">
        <v>181</v>
      </c>
      <c r="G61">
        <v>3</v>
      </c>
      <c r="H61">
        <v>1160</v>
      </c>
      <c r="I61">
        <v>10</v>
      </c>
      <c r="J61" t="s">
        <v>188</v>
      </c>
      <c r="K61">
        <v>3132</v>
      </c>
      <c r="L61">
        <v>2064.48</v>
      </c>
      <c r="M61">
        <v>1067.52</v>
      </c>
      <c r="N61" t="str">
        <f t="shared" si="0"/>
        <v>May</v>
      </c>
      <c r="O61">
        <f t="shared" si="1"/>
        <v>5</v>
      </c>
      <c r="P61" s="4">
        <f t="shared" si="2"/>
        <v>2.9339028776978417</v>
      </c>
    </row>
    <row r="62" spans="1:16" x14ac:dyDescent="0.3">
      <c r="A62" t="s">
        <v>73</v>
      </c>
      <c r="B62" s="2">
        <v>46159.708860759492</v>
      </c>
      <c r="C62" t="s">
        <v>153</v>
      </c>
      <c r="D62" t="s">
        <v>175</v>
      </c>
      <c r="E62" t="s">
        <v>179</v>
      </c>
      <c r="F62" t="s">
        <v>181</v>
      </c>
      <c r="G62">
        <v>1</v>
      </c>
      <c r="H62">
        <v>1255</v>
      </c>
      <c r="I62">
        <v>15</v>
      </c>
      <c r="J62" t="s">
        <v>186</v>
      </c>
      <c r="K62">
        <v>1066.75</v>
      </c>
      <c r="L62">
        <v>676.18</v>
      </c>
      <c r="M62">
        <v>390.57</v>
      </c>
      <c r="N62" t="str">
        <f t="shared" si="0"/>
        <v>May</v>
      </c>
      <c r="O62">
        <f t="shared" si="1"/>
        <v>5</v>
      </c>
      <c r="P62" s="4">
        <f t="shared" si="2"/>
        <v>2.7312645620503369</v>
      </c>
    </row>
    <row r="63" spans="1:16" x14ac:dyDescent="0.3">
      <c r="A63" t="s">
        <v>74</v>
      </c>
      <c r="B63" s="2">
        <v>46161.987341772139</v>
      </c>
      <c r="C63" t="s">
        <v>154</v>
      </c>
      <c r="D63" t="s">
        <v>172</v>
      </c>
      <c r="E63" t="s">
        <v>178</v>
      </c>
      <c r="F63" t="s">
        <v>180</v>
      </c>
      <c r="G63">
        <v>1</v>
      </c>
      <c r="H63">
        <v>14122</v>
      </c>
      <c r="I63">
        <v>5</v>
      </c>
      <c r="J63" t="s">
        <v>186</v>
      </c>
      <c r="K63">
        <v>13415.9</v>
      </c>
      <c r="L63">
        <v>8588.26</v>
      </c>
      <c r="M63">
        <v>4827.6400000000003</v>
      </c>
      <c r="N63" t="str">
        <f t="shared" si="0"/>
        <v>May</v>
      </c>
      <c r="O63">
        <f t="shared" si="1"/>
        <v>5</v>
      </c>
      <c r="P63" s="4">
        <f t="shared" si="2"/>
        <v>2.7789768914003528</v>
      </c>
    </row>
    <row r="64" spans="1:16" x14ac:dyDescent="0.3">
      <c r="A64" t="s">
        <v>75</v>
      </c>
      <c r="B64" s="2">
        <v>46164.265822784801</v>
      </c>
      <c r="C64" t="s">
        <v>155</v>
      </c>
      <c r="D64" t="s">
        <v>173</v>
      </c>
      <c r="E64" t="s">
        <v>179</v>
      </c>
      <c r="F64" t="s">
        <v>181</v>
      </c>
      <c r="G64">
        <v>3</v>
      </c>
      <c r="H64">
        <v>2927</v>
      </c>
      <c r="I64">
        <v>0</v>
      </c>
      <c r="J64" t="s">
        <v>186</v>
      </c>
      <c r="K64">
        <v>8781</v>
      </c>
      <c r="L64">
        <v>5476.22</v>
      </c>
      <c r="M64">
        <v>3304.78</v>
      </c>
      <c r="N64" t="str">
        <f t="shared" si="0"/>
        <v>May</v>
      </c>
      <c r="O64">
        <f t="shared" si="1"/>
        <v>5</v>
      </c>
      <c r="P64" s="4">
        <f t="shared" si="2"/>
        <v>2.6570603792082981</v>
      </c>
    </row>
    <row r="65" spans="1:16" x14ac:dyDescent="0.3">
      <c r="A65" t="s">
        <v>76</v>
      </c>
      <c r="B65" s="2">
        <v>46166.544303797462</v>
      </c>
      <c r="C65" t="s">
        <v>156</v>
      </c>
      <c r="D65" t="s">
        <v>175</v>
      </c>
      <c r="E65" t="s">
        <v>179</v>
      </c>
      <c r="F65" t="s">
        <v>181</v>
      </c>
      <c r="G65">
        <v>3</v>
      </c>
      <c r="H65">
        <v>1017</v>
      </c>
      <c r="I65">
        <v>15</v>
      </c>
      <c r="J65" t="s">
        <v>185</v>
      </c>
      <c r="K65">
        <v>2593.35</v>
      </c>
      <c r="L65">
        <v>1656.86</v>
      </c>
      <c r="M65">
        <v>936.49</v>
      </c>
      <c r="N65" t="str">
        <f t="shared" si="0"/>
        <v>May</v>
      </c>
      <c r="O65">
        <f t="shared" si="1"/>
        <v>5</v>
      </c>
      <c r="P65" s="4">
        <f t="shared" si="2"/>
        <v>2.7692233766511118</v>
      </c>
    </row>
    <row r="66" spans="1:16" x14ac:dyDescent="0.3">
      <c r="A66" t="s">
        <v>77</v>
      </c>
      <c r="B66" s="2">
        <v>46168.822784810123</v>
      </c>
      <c r="C66" t="s">
        <v>157</v>
      </c>
      <c r="D66" t="s">
        <v>175</v>
      </c>
      <c r="E66" t="s">
        <v>179</v>
      </c>
      <c r="F66" t="s">
        <v>183</v>
      </c>
      <c r="G66">
        <v>3</v>
      </c>
      <c r="H66">
        <v>1565</v>
      </c>
      <c r="I66">
        <v>15</v>
      </c>
      <c r="J66" t="s">
        <v>186</v>
      </c>
      <c r="K66">
        <v>3990.75</v>
      </c>
      <c r="L66">
        <v>3019.41</v>
      </c>
      <c r="M66">
        <v>971.34</v>
      </c>
      <c r="N66" t="str">
        <f t="shared" si="0"/>
        <v>May</v>
      </c>
      <c r="O66">
        <f t="shared" si="1"/>
        <v>5</v>
      </c>
      <c r="P66" s="4">
        <f t="shared" si="2"/>
        <v>4.1084995984928039</v>
      </c>
    </row>
    <row r="67" spans="1:16" x14ac:dyDescent="0.3">
      <c r="A67" t="s">
        <v>78</v>
      </c>
      <c r="B67" s="2">
        <v>46171.101265822777</v>
      </c>
      <c r="C67" t="s">
        <v>158</v>
      </c>
      <c r="D67" t="s">
        <v>172</v>
      </c>
      <c r="E67" t="s">
        <v>178</v>
      </c>
      <c r="F67" t="s">
        <v>183</v>
      </c>
      <c r="G67">
        <v>4</v>
      </c>
      <c r="H67">
        <v>14369</v>
      </c>
      <c r="I67">
        <v>5</v>
      </c>
      <c r="J67" t="s">
        <v>185</v>
      </c>
      <c r="K67">
        <v>54602.2</v>
      </c>
      <c r="L67">
        <v>34630.78</v>
      </c>
      <c r="M67">
        <v>19971.419999999998</v>
      </c>
      <c r="N67" t="str">
        <f t="shared" ref="N67:N81" si="3">TEXT(B67,"MMM")</f>
        <v>May</v>
      </c>
      <c r="O67">
        <f t="shared" ref="O67:O81" si="4">MONTH(B67)</f>
        <v>5</v>
      </c>
      <c r="P67" s="4">
        <f t="shared" ref="P67:P81" si="5">K67/M67</f>
        <v>2.7340169101646254</v>
      </c>
    </row>
    <row r="68" spans="1:16" x14ac:dyDescent="0.3">
      <c r="A68" t="s">
        <v>79</v>
      </c>
      <c r="B68" s="2">
        <v>46173.379746835439</v>
      </c>
      <c r="C68" t="s">
        <v>159</v>
      </c>
      <c r="D68" t="s">
        <v>175</v>
      </c>
      <c r="E68" t="s">
        <v>179</v>
      </c>
      <c r="F68" t="s">
        <v>182</v>
      </c>
      <c r="G68">
        <v>1</v>
      </c>
      <c r="H68">
        <v>3311</v>
      </c>
      <c r="I68">
        <v>10</v>
      </c>
      <c r="J68" t="s">
        <v>188</v>
      </c>
      <c r="K68">
        <v>1189.8</v>
      </c>
      <c r="L68">
        <v>813.58</v>
      </c>
      <c r="M68">
        <v>376.22</v>
      </c>
      <c r="N68" t="str">
        <f t="shared" si="3"/>
        <v>May</v>
      </c>
      <c r="O68">
        <f t="shared" si="4"/>
        <v>5</v>
      </c>
      <c r="P68" s="4">
        <f t="shared" si="5"/>
        <v>3.162511296581787</v>
      </c>
    </row>
    <row r="69" spans="1:16" x14ac:dyDescent="0.3">
      <c r="A69" t="s">
        <v>80</v>
      </c>
      <c r="B69" s="2">
        <v>46175.658227848093</v>
      </c>
      <c r="C69" t="s">
        <v>160</v>
      </c>
      <c r="D69" t="s">
        <v>175</v>
      </c>
      <c r="E69" t="s">
        <v>179</v>
      </c>
      <c r="F69" t="s">
        <v>180</v>
      </c>
      <c r="G69">
        <v>4</v>
      </c>
      <c r="H69">
        <v>1685</v>
      </c>
      <c r="I69">
        <v>10</v>
      </c>
      <c r="J69" t="s">
        <v>185</v>
      </c>
      <c r="K69">
        <v>6066</v>
      </c>
      <c r="L69">
        <v>4785.92</v>
      </c>
      <c r="M69">
        <v>1280.08</v>
      </c>
      <c r="N69" t="str">
        <f t="shared" si="3"/>
        <v>Jun</v>
      </c>
      <c r="O69">
        <f t="shared" si="4"/>
        <v>6</v>
      </c>
      <c r="P69" s="4">
        <f t="shared" si="5"/>
        <v>4.7387663271045559</v>
      </c>
    </row>
    <row r="70" spans="1:16" x14ac:dyDescent="0.3">
      <c r="A70" t="s">
        <v>81</v>
      </c>
      <c r="B70" s="2">
        <v>46177.936708860747</v>
      </c>
      <c r="C70" t="s">
        <v>161</v>
      </c>
      <c r="D70" t="s">
        <v>172</v>
      </c>
      <c r="E70" t="s">
        <v>178</v>
      </c>
      <c r="F70" t="s">
        <v>181</v>
      </c>
      <c r="G70">
        <v>3</v>
      </c>
      <c r="H70">
        <v>14425</v>
      </c>
      <c r="I70">
        <v>10</v>
      </c>
      <c r="J70" t="s">
        <v>188</v>
      </c>
      <c r="K70">
        <v>38947.5</v>
      </c>
      <c r="L70">
        <v>24328.73</v>
      </c>
      <c r="M70">
        <v>14618.77</v>
      </c>
      <c r="N70" t="str">
        <f t="shared" si="3"/>
        <v>Jun</v>
      </c>
      <c r="O70">
        <f t="shared" si="4"/>
        <v>6</v>
      </c>
      <c r="P70" s="4">
        <f t="shared" si="5"/>
        <v>2.6642118317751766</v>
      </c>
    </row>
    <row r="71" spans="1:16" x14ac:dyDescent="0.3">
      <c r="A71" t="s">
        <v>82</v>
      </c>
      <c r="B71" s="2">
        <v>46180.215189873423</v>
      </c>
      <c r="C71" t="s">
        <v>162</v>
      </c>
      <c r="D71" t="s">
        <v>172</v>
      </c>
      <c r="E71" t="s">
        <v>178</v>
      </c>
      <c r="F71" t="s">
        <v>181</v>
      </c>
      <c r="G71">
        <v>1</v>
      </c>
      <c r="H71">
        <v>14087</v>
      </c>
      <c r="I71">
        <v>15</v>
      </c>
      <c r="J71" t="s">
        <v>186</v>
      </c>
      <c r="K71">
        <v>11973.95</v>
      </c>
      <c r="L71">
        <v>9374.33</v>
      </c>
      <c r="M71">
        <v>2599.62</v>
      </c>
      <c r="N71" t="str">
        <f t="shared" si="3"/>
        <v>Jun</v>
      </c>
      <c r="O71">
        <f t="shared" si="4"/>
        <v>6</v>
      </c>
      <c r="P71" s="4">
        <f t="shared" si="5"/>
        <v>4.6060385748686352</v>
      </c>
    </row>
    <row r="72" spans="1:16" x14ac:dyDescent="0.3">
      <c r="A72" t="s">
        <v>83</v>
      </c>
      <c r="B72" s="2">
        <v>46182.493670886062</v>
      </c>
      <c r="C72" t="s">
        <v>103</v>
      </c>
      <c r="D72" t="s">
        <v>176</v>
      </c>
      <c r="E72" t="s">
        <v>178</v>
      </c>
      <c r="F72" t="s">
        <v>182</v>
      </c>
      <c r="G72">
        <v>4</v>
      </c>
      <c r="H72">
        <v>55462</v>
      </c>
      <c r="I72">
        <v>15</v>
      </c>
      <c r="J72" t="s">
        <v>186</v>
      </c>
      <c r="K72">
        <v>188570.8</v>
      </c>
      <c r="L72">
        <v>127543.81</v>
      </c>
      <c r="M72">
        <v>61026.99</v>
      </c>
      <c r="N72" t="str">
        <f t="shared" si="3"/>
        <v>Jun</v>
      </c>
      <c r="O72">
        <f t="shared" si="4"/>
        <v>6</v>
      </c>
      <c r="P72" s="4">
        <f t="shared" si="5"/>
        <v>3.0899574106473215</v>
      </c>
    </row>
    <row r="73" spans="1:16" x14ac:dyDescent="0.3">
      <c r="A73" t="s">
        <v>84</v>
      </c>
      <c r="B73" s="2">
        <v>46184.772151898716</v>
      </c>
      <c r="C73" t="s">
        <v>163</v>
      </c>
      <c r="D73" t="s">
        <v>173</v>
      </c>
      <c r="E73" t="s">
        <v>179</v>
      </c>
      <c r="F73" t="s">
        <v>181</v>
      </c>
      <c r="G73">
        <v>4</v>
      </c>
      <c r="H73">
        <v>3438</v>
      </c>
      <c r="I73">
        <v>15</v>
      </c>
      <c r="J73" t="s">
        <v>188</v>
      </c>
      <c r="K73">
        <v>11689.2</v>
      </c>
      <c r="L73">
        <v>7523.55</v>
      </c>
      <c r="M73">
        <v>4165.6499999999996</v>
      </c>
      <c r="N73" t="str">
        <f t="shared" si="3"/>
        <v>Jun</v>
      </c>
      <c r="O73">
        <f t="shared" si="4"/>
        <v>6</v>
      </c>
      <c r="P73" s="4">
        <f t="shared" si="5"/>
        <v>2.8060926866155347</v>
      </c>
    </row>
    <row r="74" spans="1:16" x14ac:dyDescent="0.3">
      <c r="A74" t="s">
        <v>85</v>
      </c>
      <c r="B74" s="2">
        <v>46187.050632911392</v>
      </c>
      <c r="C74" t="s">
        <v>164</v>
      </c>
      <c r="D74" t="s">
        <v>173</v>
      </c>
      <c r="E74" t="s">
        <v>179</v>
      </c>
      <c r="F74" t="s">
        <v>180</v>
      </c>
      <c r="G74">
        <v>3</v>
      </c>
      <c r="H74">
        <v>2954</v>
      </c>
      <c r="I74">
        <v>0</v>
      </c>
      <c r="J74" t="s">
        <v>184</v>
      </c>
      <c r="K74">
        <v>8862</v>
      </c>
      <c r="L74">
        <v>6729.34</v>
      </c>
      <c r="M74">
        <v>2132.66</v>
      </c>
      <c r="N74" t="str">
        <f t="shared" si="3"/>
        <v>Jun</v>
      </c>
      <c r="O74">
        <f t="shared" si="4"/>
        <v>6</v>
      </c>
      <c r="P74" s="4">
        <f t="shared" si="5"/>
        <v>4.1553740399313535</v>
      </c>
    </row>
    <row r="75" spans="1:16" x14ac:dyDescent="0.3">
      <c r="A75" t="s">
        <v>86</v>
      </c>
      <c r="B75" s="2">
        <v>46189.329113924039</v>
      </c>
      <c r="C75" t="s">
        <v>165</v>
      </c>
      <c r="D75" t="s">
        <v>175</v>
      </c>
      <c r="E75" t="s">
        <v>179</v>
      </c>
      <c r="F75" t="s">
        <v>182</v>
      </c>
      <c r="G75">
        <v>1</v>
      </c>
      <c r="H75">
        <v>1489</v>
      </c>
      <c r="I75">
        <v>5</v>
      </c>
      <c r="J75" t="s">
        <v>188</v>
      </c>
      <c r="K75">
        <v>1414.55</v>
      </c>
      <c r="L75">
        <v>1054.96</v>
      </c>
      <c r="M75">
        <v>359.59</v>
      </c>
      <c r="N75" t="str">
        <f t="shared" si="3"/>
        <v>Jun</v>
      </c>
      <c r="O75">
        <f t="shared" si="4"/>
        <v>6</v>
      </c>
      <c r="P75" s="4">
        <f t="shared" si="5"/>
        <v>3.9337857003809895</v>
      </c>
    </row>
    <row r="76" spans="1:16" x14ac:dyDescent="0.3">
      <c r="A76" t="s">
        <v>87</v>
      </c>
      <c r="B76" s="2">
        <v>46191.6075949367</v>
      </c>
      <c r="C76" t="s">
        <v>166</v>
      </c>
      <c r="D76" t="s">
        <v>173</v>
      </c>
      <c r="E76" t="s">
        <v>179</v>
      </c>
      <c r="F76" t="s">
        <v>180</v>
      </c>
      <c r="G76">
        <v>3</v>
      </c>
      <c r="H76">
        <v>3185</v>
      </c>
      <c r="I76">
        <v>15</v>
      </c>
      <c r="J76" t="s">
        <v>184</v>
      </c>
      <c r="K76">
        <v>8121.75</v>
      </c>
      <c r="L76">
        <v>6460.81</v>
      </c>
      <c r="M76">
        <v>1660.94</v>
      </c>
      <c r="N76" t="str">
        <f t="shared" si="3"/>
        <v>Jun</v>
      </c>
      <c r="O76">
        <f t="shared" si="4"/>
        <v>6</v>
      </c>
      <c r="P76" s="4">
        <f t="shared" si="5"/>
        <v>4.8898515298565872</v>
      </c>
    </row>
    <row r="77" spans="1:16" x14ac:dyDescent="0.3">
      <c r="A77" t="s">
        <v>88</v>
      </c>
      <c r="B77" s="2">
        <v>46193.886075949362</v>
      </c>
      <c r="C77" t="s">
        <v>167</v>
      </c>
      <c r="D77" t="s">
        <v>175</v>
      </c>
      <c r="E77" t="s">
        <v>179</v>
      </c>
      <c r="F77" t="s">
        <v>182</v>
      </c>
      <c r="G77">
        <v>1</v>
      </c>
      <c r="H77">
        <v>1103</v>
      </c>
      <c r="I77">
        <v>5</v>
      </c>
      <c r="J77" t="s">
        <v>185</v>
      </c>
      <c r="K77">
        <v>1047.8499999999999</v>
      </c>
      <c r="L77">
        <v>803.72</v>
      </c>
      <c r="M77">
        <v>244.13</v>
      </c>
      <c r="N77" t="str">
        <f t="shared" si="3"/>
        <v>Jun</v>
      </c>
      <c r="O77">
        <f t="shared" si="4"/>
        <v>6</v>
      </c>
      <c r="P77" s="4">
        <f t="shared" si="5"/>
        <v>4.2921803956908198</v>
      </c>
    </row>
    <row r="78" spans="1:16" x14ac:dyDescent="0.3">
      <c r="A78" t="s">
        <v>89</v>
      </c>
      <c r="B78" s="2">
        <v>46196.164556962023</v>
      </c>
      <c r="C78" t="s">
        <v>168</v>
      </c>
      <c r="D78" t="s">
        <v>176</v>
      </c>
      <c r="E78" t="s">
        <v>178</v>
      </c>
      <c r="F78" t="s">
        <v>182</v>
      </c>
      <c r="G78">
        <v>5</v>
      </c>
      <c r="H78">
        <v>55192</v>
      </c>
      <c r="I78">
        <v>5</v>
      </c>
      <c r="J78" t="s">
        <v>185</v>
      </c>
      <c r="K78">
        <v>262162</v>
      </c>
      <c r="L78">
        <v>204668.87</v>
      </c>
      <c r="M78">
        <v>57493.13</v>
      </c>
      <c r="N78" t="str">
        <f t="shared" si="3"/>
        <v>Jun</v>
      </c>
      <c r="O78">
        <f t="shared" si="4"/>
        <v>6</v>
      </c>
      <c r="P78" s="4">
        <f t="shared" si="5"/>
        <v>4.5598839374373945</v>
      </c>
    </row>
    <row r="79" spans="1:16" x14ac:dyDescent="0.3">
      <c r="A79" t="s">
        <v>90</v>
      </c>
      <c r="B79" s="2">
        <v>46198.443037974677</v>
      </c>
      <c r="C79" t="s">
        <v>169</v>
      </c>
      <c r="D79" t="s">
        <v>172</v>
      </c>
      <c r="E79" t="s">
        <v>178</v>
      </c>
      <c r="F79" t="s">
        <v>183</v>
      </c>
      <c r="G79">
        <v>2</v>
      </c>
      <c r="H79">
        <v>14045</v>
      </c>
      <c r="I79">
        <v>10</v>
      </c>
      <c r="J79" t="s">
        <v>185</v>
      </c>
      <c r="K79">
        <v>25281</v>
      </c>
      <c r="L79">
        <v>17100.240000000002</v>
      </c>
      <c r="M79">
        <v>8180.76</v>
      </c>
      <c r="N79" t="str">
        <f t="shared" si="3"/>
        <v>Jun</v>
      </c>
      <c r="O79">
        <f t="shared" si="4"/>
        <v>6</v>
      </c>
      <c r="P79" s="4">
        <f t="shared" si="5"/>
        <v>3.0902996787584525</v>
      </c>
    </row>
    <row r="80" spans="1:16" x14ac:dyDescent="0.3">
      <c r="A80" t="s">
        <v>91</v>
      </c>
      <c r="B80" s="2">
        <v>46200.721518987339</v>
      </c>
      <c r="C80" t="s">
        <v>170</v>
      </c>
      <c r="D80" t="s">
        <v>172</v>
      </c>
      <c r="E80" t="s">
        <v>178</v>
      </c>
      <c r="F80" t="s">
        <v>180</v>
      </c>
      <c r="G80">
        <v>2</v>
      </c>
      <c r="H80">
        <v>13975</v>
      </c>
      <c r="I80">
        <v>0</v>
      </c>
      <c r="J80" t="s">
        <v>186</v>
      </c>
      <c r="K80">
        <v>27950</v>
      </c>
      <c r="L80">
        <v>18320.89</v>
      </c>
      <c r="M80">
        <v>9629.11</v>
      </c>
      <c r="N80" t="str">
        <f t="shared" si="3"/>
        <v>Jun</v>
      </c>
      <c r="O80">
        <f t="shared" si="4"/>
        <v>6</v>
      </c>
      <c r="P80" s="4">
        <f t="shared" si="5"/>
        <v>2.9026566318174782</v>
      </c>
    </row>
    <row r="81" spans="1:16" x14ac:dyDescent="0.3">
      <c r="A81" t="s">
        <v>92</v>
      </c>
      <c r="B81" s="2">
        <v>46203</v>
      </c>
      <c r="C81" t="s">
        <v>171</v>
      </c>
      <c r="D81" t="s">
        <v>172</v>
      </c>
      <c r="E81" t="s">
        <v>178</v>
      </c>
      <c r="F81" t="s">
        <v>181</v>
      </c>
      <c r="G81">
        <v>2</v>
      </c>
      <c r="H81">
        <v>13838</v>
      </c>
      <c r="I81">
        <v>15</v>
      </c>
      <c r="J81" t="s">
        <v>185</v>
      </c>
      <c r="K81">
        <v>23524.6</v>
      </c>
      <c r="L81">
        <v>18116.830000000002</v>
      </c>
      <c r="M81">
        <v>5407.77</v>
      </c>
      <c r="N81" t="str">
        <f t="shared" si="3"/>
        <v>Jun</v>
      </c>
      <c r="O81">
        <f t="shared" si="4"/>
        <v>6</v>
      </c>
      <c r="P81" s="4">
        <f t="shared" si="5"/>
        <v>4.350148027745262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Shefeeq</dc:creator>
  <cp:lastModifiedBy>Shefeeq</cp:lastModifiedBy>
  <dcterms:created xsi:type="dcterms:W3CDTF">2026-09-18T00:21:58Z</dcterms:created>
  <dcterms:modified xsi:type="dcterms:W3CDTF">2026-09-28T12:10:59Z</dcterms:modified>
</cp:coreProperties>
</file>